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ms-office.chartex+xml" PartName="/xl/charts/chartEx1.xml"/>
  <Override ContentType="application/vnd.openxmlformats-package.core-properties+xml" PartName="/docProps/core.xml"/>
  <Override ContentType="application/vnd.ms-office.chartcolorstyle+xml" PartName="/xl/charts/colors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office.chartstyle+xml" PartName="/xl/charts/style1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l Deflection" sheetId="1" r:id="rId4"/>
    <sheet state="visible" name="Cost Analysis" sheetId="2" r:id="rId5"/>
    <sheet state="visible" name="Spring Calculations" sheetId="3" r:id="rId6"/>
    <sheet state="visible" name="Fuel Model (v2)" sheetId="4" r:id="rId7"/>
    <sheet state="visible" name="COST ANALYSIS AND EFFICIENCY AN" sheetId="5" r:id="rId8"/>
    <sheet state="visible" name="Copy of Itemized Breakdown" sheetId="6" r:id="rId9"/>
    <sheet state="visible" name="Fuel Efficiency (v1)" sheetId="7" r:id="rId10"/>
  </sheets>
  <definedNames/>
  <calcPr/>
  <extLst>
    <ext uri="GoogleSheetsCustomDataVersion2">
      <go:sheetsCustomData xmlns:go="http://customooxmlschemas.google.com/" r:id="rId11" roundtripDataChecksum="uhrN6R/nGEgAbZD7e0Pn4qNMvoL/BOQfAlxcSMv0k1M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6">
      <text>
        <t xml:space="preserve">======
ID#AAABLqeSsbI
    (2024-04-12 01:48:02)
[Threaded comment]
Your version of Excel allows you to read this threaded comment; however, any edits to it will get removed if the file is opened in a newer version of Excel. Learn more: https://go.microsoft.com/fwlink/?linkid=870924
Comment:
    Less than 1/10" Deflection
	-tc={414E1E8E-C91B-438C-A736-075FEF68AB36}
6546K54
https://www.mcmaster.com/products/aluminum-square-tubing/multipurpose-6061-aluminum-rectangular-tubes/
	-Benjamin Horvat</t>
      </text>
    </comment>
  </commentList>
  <extLst>
    <ext uri="GoogleSheetsCustomDataVersion2">
      <go:sheetsCustomData xmlns:go="http://customooxmlschemas.google.com/" r:id="rId1" roundtripDataSignature="AMtx7miNYN9nO3mciFtEdm/ifoYY4tNiMg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28">
      <text>
        <t xml:space="preserve">======
ID#AAABLqeSsa8
    (2024-04-12 01:48:02)
using the fuel efficiency model
	-Justin Chai</t>
      </text>
    </comment>
  </commentList>
  <extLst>
    <ext uri="GoogleSheetsCustomDataVersion2">
      <go:sheetsCustomData xmlns:go="http://customooxmlschemas.google.com/" r:id="rId1" roundtripDataSignature="AMtx7mhGgJhZ3EjeCQJqZmInLBYqhueYfw=="/>
    </ext>
  </extLst>
</comments>
</file>

<file path=xl/sharedStrings.xml><?xml version="1.0" encoding="utf-8"?>
<sst xmlns="http://schemas.openxmlformats.org/spreadsheetml/2006/main" count="460" uniqueCount="259">
  <si>
    <t>Material (rods)</t>
  </si>
  <si>
    <t>Modulus (GPa)</t>
  </si>
  <si>
    <t>Density (grams/cm^3)</t>
  </si>
  <si>
    <t>Thickness</t>
  </si>
  <si>
    <t>OD (inches)</t>
  </si>
  <si>
    <t>I (in^4)</t>
  </si>
  <si>
    <t>Pressure (Psi)</t>
  </si>
  <si>
    <t>Displacement (inches)</t>
  </si>
  <si>
    <t>Weight(per member)</t>
  </si>
  <si>
    <t>Total W of Chassis (lbs)</t>
  </si>
  <si>
    <t>Total Weight</t>
  </si>
  <si>
    <t>Difference in weight(lbs)</t>
  </si>
  <si>
    <t>Reduction</t>
  </si>
  <si>
    <t>Weight with Driver (lbs)</t>
  </si>
  <si>
    <t>Chrome Moly (4130)</t>
  </si>
  <si>
    <t>Aluminum (6061)</t>
  </si>
  <si>
    <t>Wrapped CF</t>
  </si>
  <si>
    <t>S. Steel (304)</t>
  </si>
  <si>
    <t>CURRENT (Square Aluminum)</t>
  </si>
  <si>
    <t>Current Total (lbs)</t>
  </si>
  <si>
    <t>Fuel Cell</t>
  </si>
  <si>
    <t>Tires</t>
  </si>
  <si>
    <t>Electronics</t>
  </si>
  <si>
    <t>Suspension</t>
  </si>
  <si>
    <t>Safety+Etc</t>
  </si>
  <si>
    <t>Rest of Vehicle (lbs)</t>
  </si>
  <si>
    <t>Member Length (in)</t>
  </si>
  <si>
    <t>Load (lbs)</t>
  </si>
  <si>
    <t xml:space="preserve"> Estimate Chassis Tubing (ft)</t>
  </si>
  <si>
    <t>Estimated Length</t>
  </si>
  <si>
    <t>Min Weight (Driver)</t>
  </si>
  <si>
    <t>Max Weight (Car)</t>
  </si>
  <si>
    <t>NO MIN WEIGHT</t>
  </si>
  <si>
    <t>Suspension Weight Calculations</t>
  </si>
  <si>
    <t>Chrome Moly</t>
  </si>
  <si>
    <t>Weight (lbs)</t>
  </si>
  <si>
    <t>Conservative Amt of Material (ft)</t>
  </si>
  <si>
    <t>Aggressive Amt of Material (ft)</t>
  </si>
  <si>
    <t>Component of the Current Vehicle</t>
  </si>
  <si>
    <t>Estimated Weight (lbs)</t>
  </si>
  <si>
    <t>Percentage of Total Weight</t>
  </si>
  <si>
    <t>Test Trial</t>
  </si>
  <si>
    <t>Max Velocity (m/s)</t>
  </si>
  <si>
    <t>Max Acceleration (m/s^2)</t>
  </si>
  <si>
    <t>Power Exerted</t>
  </si>
  <si>
    <t>Average</t>
  </si>
  <si>
    <t>Non-Chassis Systems</t>
  </si>
  <si>
    <t>Chassis</t>
  </si>
  <si>
    <t>Estimated Power Rating (J/s)</t>
  </si>
  <si>
    <t>Total Vehicle Weight</t>
  </si>
  <si>
    <t>Cost of Single Joint Members</t>
  </si>
  <si>
    <t xml:space="preserve">Aluminum </t>
  </si>
  <si>
    <t xml:space="preserve">Cost of Epoxy </t>
  </si>
  <si>
    <t>Collar Material Cost</t>
  </si>
  <si>
    <t>Cost of Glass Resin</t>
  </si>
  <si>
    <t>Cost of Welding *</t>
  </si>
  <si>
    <t>*Referencing Tension Tests</t>
  </si>
  <si>
    <t>Cost vs Tensile Strength</t>
  </si>
  <si>
    <t>SW</t>
  </si>
  <si>
    <t>LP</t>
  </si>
  <si>
    <t>LW</t>
  </si>
  <si>
    <t xml:space="preserve">3D printed </t>
  </si>
  <si>
    <t>Cost of Epoxy</t>
  </si>
  <si>
    <t>Cost of Print Material</t>
  </si>
  <si>
    <t>SP</t>
  </si>
  <si>
    <t>*Referencing Comp Tests</t>
  </si>
  <si>
    <t>Cost vs Compressive Strength</t>
  </si>
  <si>
    <t>Cost Vs Time of Production</t>
  </si>
  <si>
    <t>Cost Vs Effort</t>
  </si>
  <si>
    <t>Control Panel (front)</t>
  </si>
  <si>
    <t>Control Panel (back)</t>
  </si>
  <si>
    <t>Total Current Weight (lbs)</t>
  </si>
  <si>
    <t>Total Current Carbon Weight (lbs)</t>
  </si>
  <si>
    <t xml:space="preserve">% weight carried by front </t>
  </si>
  <si>
    <t xml:space="preserve">% weight carried by back </t>
  </si>
  <si>
    <t>Unsprung weight of front (lbs)</t>
  </si>
  <si>
    <t>Unsprung weight of back (lbs)</t>
  </si>
  <si>
    <t>Distance from chassis to spring (in)</t>
  </si>
  <si>
    <t>Distnace from chassis to center of wheel (in)</t>
  </si>
  <si>
    <t>Spring Angle</t>
  </si>
  <si>
    <t>Chosen Natural Frequencies (Hz)</t>
  </si>
  <si>
    <t>Current</t>
  </si>
  <si>
    <t>Corner Weights (lbs)</t>
  </si>
  <si>
    <t>Corner Weight (just back wheel) (lbs)</t>
  </si>
  <si>
    <t>Individual Corner Sprung Weight (lbs)</t>
  </si>
  <si>
    <t xml:space="preserve">Motion Ratio of Front </t>
  </si>
  <si>
    <t>Motion Ratio of Back</t>
  </si>
  <si>
    <t>Front Wheel Spring Rate (N/mm)</t>
  </si>
  <si>
    <t>Back Wheel Spring Rate (N/mm)</t>
  </si>
  <si>
    <t>Effective Spring Rate Needed (N/mm)</t>
  </si>
  <si>
    <t>Carbon</t>
  </si>
  <si>
    <t>MODEL 2</t>
  </si>
  <si>
    <t>Control Panel</t>
  </si>
  <si>
    <t>Fuel Efficiency Calculations</t>
  </si>
  <si>
    <t>CF</t>
  </si>
  <si>
    <t>% of hydrogen leaked</t>
  </si>
  <si>
    <t>Required energy from fuel cell (kJ)</t>
  </si>
  <si>
    <t>Fuel Cell Thermo-Efficiency</t>
  </si>
  <si>
    <t>Hydrogen Needed (m^3)</t>
  </si>
  <si>
    <t>Distance Traveled (m)</t>
  </si>
  <si>
    <t>Gasoline Equivalency (kJ/m^3 of gas)</t>
  </si>
  <si>
    <t>Average Speed (kph)</t>
  </si>
  <si>
    <t>Amount of equivalent unlead. Gas consumed (m^3)</t>
  </si>
  <si>
    <t>Density of hydrogen (kg/m^3)</t>
  </si>
  <si>
    <t>Fuel Efficiency (mi/m^3) (IN GASOLINE)</t>
  </si>
  <si>
    <t xml:space="preserve">Asphalt Kinetic Friction Coefficient </t>
  </si>
  <si>
    <r>
      <rPr>
        <rFont val="aptos narrow"/>
        <b/>
        <color theme="1"/>
        <sz val="11.0"/>
      </rPr>
      <t>Fuel Efficiency (MPG</t>
    </r>
    <r>
      <rPr>
        <rFont val="aptos narrow"/>
        <b/>
        <i/>
        <color theme="1"/>
        <sz val="11.0"/>
      </rPr>
      <t>e</t>
    </r>
    <r>
      <rPr>
        <rFont val="aptos narrow"/>
        <b/>
        <color theme="1"/>
        <sz val="11.0"/>
      </rPr>
      <t>)</t>
    </r>
  </si>
  <si>
    <t>Estimated Drag Coefficient</t>
  </si>
  <si>
    <t>Fuel Efficiency (km/m^3) (H2)</t>
  </si>
  <si>
    <t>Esimtated Frontal Area (m^2)</t>
  </si>
  <si>
    <t>Fuel Efficiency (mi/m^3) (of H2)</t>
  </si>
  <si>
    <t>Density of Unlead. Gas (kg/L)</t>
  </si>
  <si>
    <t>Net Caloric Value (H2) (kJ/kg)</t>
  </si>
  <si>
    <t>BASE</t>
  </si>
  <si>
    <t>Maximum power of HFC (J/s, W)</t>
  </si>
  <si>
    <t>Increased Efficiency (mi/m^3) (H2)</t>
  </si>
  <si>
    <t>Density of air (kg/m^3)</t>
  </si>
  <si>
    <t>Increased Efficiency (mpge)</t>
  </si>
  <si>
    <t>1+2</t>
  </si>
  <si>
    <t>Net Caloric Value (Unlead. Gas) (kJ/kg)</t>
  </si>
  <si>
    <t>1+2+3</t>
  </si>
  <si>
    <t>Total Mass of Wrapped CF (lbs)</t>
  </si>
  <si>
    <t>Total Mass of Current (lbs)</t>
  </si>
  <si>
    <t>2+3</t>
  </si>
  <si>
    <t>Energy Used Calculations</t>
  </si>
  <si>
    <t>Increased fuel efficiency</t>
  </si>
  <si>
    <t>1+3</t>
  </si>
  <si>
    <t>Mass (kg)</t>
  </si>
  <si>
    <t>KE at avg vel. (J)</t>
  </si>
  <si>
    <t>Time taken until avg kph (secs)</t>
  </si>
  <si>
    <t>Acceleration of vehicle (m/s^2)</t>
  </si>
  <si>
    <t>Distance accelerated(m)</t>
  </si>
  <si>
    <t>Distance at avg vel (m)</t>
  </si>
  <si>
    <t>Drag Force Losses (J/s)</t>
  </si>
  <si>
    <t>Fuel Efficiency Increase (MPGe)</t>
  </si>
  <si>
    <t>Friction losses (J/s)</t>
  </si>
  <si>
    <t>Chassis Weight Reduction 33%</t>
  </si>
  <si>
    <t>(1)</t>
  </si>
  <si>
    <t>Time to complete track (sec)</t>
  </si>
  <si>
    <t>Frontal Area Reduced by 25%</t>
  </si>
  <si>
    <t>(2)</t>
  </si>
  <si>
    <t>Total Frictional energy lost (J)</t>
  </si>
  <si>
    <t>Thermal Efficiency Increased by 10%</t>
  </si>
  <si>
    <t>(3)</t>
  </si>
  <si>
    <t>Total energy used(J)</t>
  </si>
  <si>
    <t>(1) + (2)</t>
  </si>
  <si>
    <t>(2) + (3)</t>
  </si>
  <si>
    <t>(1) + (3)</t>
  </si>
  <si>
    <t>(1) + (2) + (3)</t>
  </si>
  <si>
    <t>W/o synergy</t>
  </si>
  <si>
    <t>Synergy increases</t>
  </si>
  <si>
    <t>(1)+(2) Synergy</t>
  </si>
  <si>
    <t>(1) + (3) Synergy</t>
  </si>
  <si>
    <t>(2) + (3) Synergy</t>
  </si>
  <si>
    <t>All Synergy</t>
  </si>
  <si>
    <t>Tension Units</t>
  </si>
  <si>
    <t>Density of AL (lb/in^3)</t>
  </si>
  <si>
    <t>Density of Onyx (lb/in^3)</t>
  </si>
  <si>
    <t>(1-5)</t>
  </si>
  <si>
    <t>Sizing</t>
  </si>
  <si>
    <t>Type</t>
  </si>
  <si>
    <t>Subtotal</t>
  </si>
  <si>
    <t>With Carbon Fiber Tube</t>
  </si>
  <si>
    <t>With Epoxy/Resin</t>
  </si>
  <si>
    <t>Total</t>
  </si>
  <si>
    <t>Volume of Unit (cm^3)</t>
  </si>
  <si>
    <t>75% of max Tensile Load</t>
  </si>
  <si>
    <t>Cost/lbf</t>
  </si>
  <si>
    <t>V in (in^3)</t>
  </si>
  <si>
    <t>Volume/Cost (in^3/$) (OF 6" MEMBERS)</t>
  </si>
  <si>
    <t>Cost/Volume</t>
  </si>
  <si>
    <t>Weight of Member (OF 6" MEMBERS)</t>
  </si>
  <si>
    <t>Time Taken (hrs)</t>
  </si>
  <si>
    <t>Effort Needed</t>
  </si>
  <si>
    <t>Learning Curve Rating</t>
  </si>
  <si>
    <t>TimexEffort Rating</t>
  </si>
  <si>
    <t>3D prints</t>
  </si>
  <si>
    <t>AL</t>
  </si>
  <si>
    <t>SW 3D print with hardware</t>
  </si>
  <si>
    <t>Compression</t>
  </si>
  <si>
    <t>75% of max compressive load</t>
  </si>
  <si>
    <t>LW MEMBER</t>
  </si>
  <si>
    <t>Weight of Joints</t>
  </si>
  <si>
    <t>Weight of each member</t>
  </si>
  <si>
    <t>Total W of Chassis</t>
  </si>
  <si>
    <t>Difference in Weight</t>
  </si>
  <si>
    <t>Reduction %</t>
  </si>
  <si>
    <t>Weight with Driver</t>
  </si>
  <si>
    <t>Cost/(lb saved)</t>
  </si>
  <si>
    <t>Projected Fuel Efficiency (mi/m^3)</t>
  </si>
  <si>
    <t>Increased Fuel Effiency</t>
  </si>
  <si>
    <t>Fuel Efficiency Gained/Lb Saved</t>
  </si>
  <si>
    <t>Cost/Efficiency Gained</t>
  </si>
  <si>
    <t>Same Calcs in MPG</t>
  </si>
  <si>
    <t>PROJECTED MPG</t>
  </si>
  <si>
    <t>MPG GAIN</t>
  </si>
  <si>
    <t>MPG/Lb saved</t>
  </si>
  <si>
    <t>$/MPG Gain</t>
  </si>
  <si>
    <t>CF Type</t>
  </si>
  <si>
    <t>Connection Type</t>
  </si>
  <si>
    <t>Chassis + Driver Weight (lbs)</t>
  </si>
  <si>
    <t>Current Wt Reduction %</t>
  </si>
  <si>
    <t>Cost/lb saved ($)</t>
  </si>
  <si>
    <t>3D collar</t>
  </si>
  <si>
    <t>AL inserts</t>
  </si>
  <si>
    <t>Proj. Mi/M^3 Increases</t>
  </si>
  <si>
    <t>Proj MPGe Increases</t>
  </si>
  <si>
    <t>Cost/MPGe Gained ($)</t>
  </si>
  <si>
    <t>Item</t>
  </si>
  <si>
    <t>Purchased from</t>
  </si>
  <si>
    <t>Additional Fees</t>
  </si>
  <si>
    <t>Total Volume (in^3)</t>
  </si>
  <si>
    <t>Cost per in^3</t>
  </si>
  <si>
    <t>Surface Area</t>
  </si>
  <si>
    <t>Volume of 6"</t>
  </si>
  <si>
    <t>Cost of  6" member</t>
  </si>
  <si>
    <t>Volume of 2"</t>
  </si>
  <si>
    <t>Cost of 2" member</t>
  </si>
  <si>
    <t>Weight of Each member</t>
  </si>
  <si>
    <t>.5" x 60" Wrapped Carbon Tube</t>
  </si>
  <si>
    <t>Goodwinds Composite</t>
  </si>
  <si>
    <t>.750" x 60" Wrapped Carbon Tube</t>
  </si>
  <si>
    <t>.5" x 48" Pultruded Carbon Tube</t>
  </si>
  <si>
    <t>.750" x 48" Pultruded Carbon Tube</t>
  </si>
  <si>
    <t>.750" x 24" Aluminium Rod</t>
  </si>
  <si>
    <t>McMaster Carr</t>
  </si>
  <si>
    <t>.500" x 24" Aluminium Rod</t>
  </si>
  <si>
    <t xml:space="preserve">Multipurpose 6061 Aluminum </t>
  </si>
  <si>
    <t>Toughened Epoxy</t>
  </si>
  <si>
    <t>Glass Resin FIller</t>
  </si>
  <si>
    <t>Dispensing Gun</t>
  </si>
  <si>
    <t>Density of Pultruded CF</t>
  </si>
  <si>
    <t>Amazon</t>
  </si>
  <si>
    <t>Density of Wrapped CF</t>
  </si>
  <si>
    <t>Application Tips</t>
  </si>
  <si>
    <t>MODEL 1</t>
  </si>
  <si>
    <t>Fuel Efficiency Calculations (total energy expended)</t>
  </si>
  <si>
    <t>Amount of hydrogen used (m^3)</t>
  </si>
  <si>
    <t>Energy from H2 (kJ)</t>
  </si>
  <si>
    <t>% hydrogen leaked</t>
  </si>
  <si>
    <t>Gasoline Conversion (kJ/m^3 of gas)</t>
  </si>
  <si>
    <t>Fuel Cell Thermo-efficiency</t>
  </si>
  <si>
    <t>Time (min)</t>
  </si>
  <si>
    <t>Fuel Efficiency of CF (km/m^3 of gasoline)</t>
  </si>
  <si>
    <t>Fuel Efficiency of Current (km/m^3 of gasoline)</t>
  </si>
  <si>
    <t>IN KG/L</t>
  </si>
  <si>
    <t>Increased Effiency (km/m^3):</t>
  </si>
  <si>
    <t>CF in MPG</t>
  </si>
  <si>
    <t>Current in MPG</t>
  </si>
  <si>
    <t>Increased Effiency (in MPG):</t>
  </si>
  <si>
    <t>Distance Traveled Calculations</t>
  </si>
  <si>
    <t>Hydrogen Into Fuel Cell (m^3)</t>
  </si>
  <si>
    <t>Potential Energy into Fuel Cell (kJ)</t>
  </si>
  <si>
    <t>Converted Energy to Electrical (kJ)</t>
  </si>
  <si>
    <t>Time Ran (seconds)</t>
  </si>
  <si>
    <t>Weight Conversion (CF) (kg)</t>
  </si>
  <si>
    <t>Weight Conversion (Alum) (kg)</t>
  </si>
  <si>
    <t>Distance by CF (km)</t>
  </si>
  <si>
    <t>Distance by Current (km)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</si>
</sst>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"/>
    <numFmt numFmtId="165" formatCode="#,##0.0000"/>
    <numFmt numFmtId="166" formatCode="#,##0.000"/>
    <numFmt numFmtId="167" formatCode="0.0%"/>
    <numFmt numFmtId="168" formatCode="&quot;$&quot;#,##0.00"/>
    <numFmt numFmtId="169" formatCode="&quot;$&quot;#,##0.000"/>
  </numFmts>
  <fonts count="20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0070C0"/>
      <name val="Aptos narrow"/>
    </font>
    <font>
      <color theme="1"/>
      <name val="Aptos narrow"/>
      <scheme val="minor"/>
    </font>
    <font>
      <b/>
      <color theme="1"/>
      <name val="Aptos narrow"/>
      <scheme val="minor"/>
    </font>
    <font>
      <b/>
      <color theme="1"/>
      <name val="Arial"/>
    </font>
    <font>
      <color theme="1"/>
      <name val="Arial"/>
    </font>
    <font>
      <sz val="11.0"/>
      <color theme="9"/>
      <name val="Aptos narrow"/>
    </font>
    <font>
      <sz val="11.0"/>
      <color theme="4"/>
      <name val="Aptos narrow"/>
    </font>
    <font>
      <b/>
      <sz val="11.0"/>
      <color rgb="FF000000"/>
      <name val="Aptos narrow"/>
    </font>
    <font>
      <b/>
      <sz val="11.0"/>
      <color rgb="FF0070C0"/>
      <name val="Arial"/>
    </font>
    <font>
      <b/>
      <sz val="11.0"/>
      <color rgb="FF000000"/>
      <name val="Arial"/>
    </font>
    <font>
      <sz val="11.0"/>
      <color rgb="FF1F1F1F"/>
      <name val="&quot;Google Sans&quot;"/>
    </font>
    <font>
      <sz val="11.0"/>
      <color theme="1"/>
      <name val="&quot;aptos narrow&quot;"/>
    </font>
    <font>
      <b/>
      <sz val="11.0"/>
      <color theme="1"/>
      <name val="&quot;aptos narrow&quot;"/>
    </font>
    <font>
      <b/>
      <sz val="11.0"/>
      <color rgb="FF4EA72E"/>
      <name val="Arial"/>
    </font>
    <font>
      <b/>
      <sz val="11.0"/>
      <color theme="9"/>
      <name val="Aptos narrow"/>
    </font>
  </fonts>
  <fills count="12">
    <fill>
      <patternFill patternType="none"/>
    </fill>
    <fill>
      <patternFill patternType="lightGray"/>
    </fill>
    <fill>
      <patternFill patternType="solid">
        <fgColor rgb="FFF1CEEE"/>
        <bgColor rgb="FFF1CEEE"/>
      </patternFill>
    </fill>
    <fill>
      <patternFill patternType="solid">
        <fgColor rgb="FFD9F2D0"/>
        <bgColor rgb="FFD9F2D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36">
    <border/>
    <border>
      <left style="medium">
        <color rgb="FF000000"/>
      </left>
      <right/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</border>
    <border>
      <left/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0" fontId="3" numFmtId="0" xfId="0" applyBorder="1" applyFont="1"/>
    <xf borderId="2" fillId="0" fontId="4" numFmtId="0" xfId="0" applyBorder="1" applyFont="1"/>
    <xf borderId="3" fillId="0" fontId="4" numFmtId="0" xfId="0" applyBorder="1" applyFont="1"/>
    <xf borderId="4" fillId="2" fontId="1" numFmtId="164" xfId="0" applyBorder="1" applyFont="1" applyNumberFormat="1"/>
    <xf borderId="0" fillId="0" fontId="4" numFmtId="164" xfId="0" applyFont="1" applyNumberFormat="1"/>
    <xf borderId="0" fillId="0" fontId="4" numFmtId="9" xfId="0" applyFont="1" applyNumberFormat="1"/>
    <xf borderId="5" fillId="3" fontId="1" numFmtId="164" xfId="0" applyBorder="1" applyFill="1" applyFont="1" applyNumberFormat="1"/>
    <xf borderId="0" fillId="0" fontId="4" numFmtId="0" xfId="0" applyFont="1"/>
    <xf borderId="6" fillId="4" fontId="2" numFmtId="0" xfId="0" applyBorder="1" applyFill="1" applyFont="1"/>
    <xf borderId="6" fillId="4" fontId="1" numFmtId="0" xfId="0" applyBorder="1" applyFont="1"/>
    <xf borderId="7" fillId="2" fontId="1" numFmtId="164" xfId="0" applyBorder="1" applyFont="1" applyNumberFormat="1"/>
    <xf borderId="8" fillId="0" fontId="1" numFmtId="0" xfId="0" applyBorder="1" applyFont="1"/>
    <xf borderId="9" fillId="3" fontId="1" numFmtId="164" xfId="0" applyBorder="1" applyFont="1" applyNumberFormat="1"/>
    <xf borderId="6" fillId="3" fontId="5" numFmtId="0" xfId="0" applyBorder="1" applyFont="1"/>
    <xf borderId="0" fillId="0" fontId="6" numFmtId="0" xfId="0" applyFont="1"/>
    <xf borderId="0" fillId="5" fontId="7" numFmtId="0" xfId="0" applyAlignment="1" applyFill="1" applyFont="1">
      <alignment readingOrder="0"/>
    </xf>
    <xf borderId="0" fillId="5" fontId="8" numFmtId="0" xfId="0" applyAlignment="1" applyFont="1">
      <alignment readingOrder="0"/>
    </xf>
    <xf borderId="10" fillId="5" fontId="6" numFmtId="0" xfId="0" applyAlignment="1" applyBorder="1" applyFont="1">
      <alignment readingOrder="0"/>
    </xf>
    <xf borderId="10" fillId="5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6" numFmtId="10" xfId="0" applyFont="1" applyNumberFormat="1"/>
    <xf borderId="0" fillId="0" fontId="6" numFmtId="0" xfId="0" applyAlignment="1" applyFont="1">
      <alignment readingOrder="0"/>
    </xf>
    <xf borderId="0" fillId="0" fontId="6" numFmtId="0" xfId="0" applyFont="1"/>
    <xf borderId="11" fillId="0" fontId="7" numFmtId="0" xfId="0" applyAlignment="1" applyBorder="1" applyFont="1">
      <alignment readingOrder="0"/>
    </xf>
    <xf borderId="11" fillId="0" fontId="7" numFmtId="0" xfId="0" applyBorder="1" applyFont="1"/>
    <xf borderId="11" fillId="6" fontId="6" numFmtId="0" xfId="0" applyAlignment="1" applyBorder="1" applyFill="1" applyFont="1">
      <alignment readingOrder="0"/>
    </xf>
    <xf borderId="11" fillId="6" fontId="6" numFmtId="0" xfId="0" applyBorder="1" applyFont="1"/>
    <xf borderId="11" fillId="6" fontId="6" numFmtId="10" xfId="0" applyBorder="1" applyFont="1" applyNumberFormat="1"/>
    <xf borderId="0" fillId="6" fontId="6" numFmtId="0" xfId="0" applyAlignment="1" applyFont="1">
      <alignment readingOrder="0"/>
    </xf>
    <xf borderId="0" fillId="6" fontId="6" numFmtId="10" xfId="0" applyFont="1" applyNumberFormat="1"/>
    <xf borderId="0" fillId="0" fontId="3" numFmtId="0" xfId="0" applyFont="1"/>
    <xf borderId="0" fillId="0" fontId="10" numFmtId="164" xfId="0" applyFont="1" applyNumberFormat="1"/>
    <xf borderId="0" fillId="0" fontId="11" numFmtId="0" xfId="0" applyFont="1"/>
    <xf borderId="0" fillId="0" fontId="10" numFmtId="0" xfId="0" applyFont="1"/>
    <xf borderId="6" fillId="4" fontId="4" numFmtId="0" xfId="0" applyBorder="1" applyFont="1"/>
    <xf borderId="12" fillId="0" fontId="4" numFmtId="0" xfId="0" applyBorder="1" applyFont="1"/>
    <xf borderId="13" fillId="0" fontId="1" numFmtId="0" xfId="0" applyBorder="1" applyFont="1"/>
    <xf borderId="10" fillId="0" fontId="4" numFmtId="0" xfId="0" applyBorder="1" applyFont="1"/>
    <xf borderId="14" fillId="0" fontId="1" numFmtId="0" xfId="0" applyBorder="1" applyFont="1"/>
    <xf borderId="15" fillId="0" fontId="12" numFmtId="0" xfId="0" applyBorder="1" applyFont="1"/>
    <xf borderId="15" fillId="0" fontId="13" numFmtId="9" xfId="0" applyAlignment="1" applyBorder="1" applyFont="1" applyNumberFormat="1">
      <alignment readingOrder="0"/>
    </xf>
    <xf borderId="15" fillId="0" fontId="5" numFmtId="0" xfId="0" applyBorder="1" applyFont="1"/>
    <xf borderId="15" fillId="0" fontId="12" numFmtId="165" xfId="0" applyBorder="1" applyFont="1" applyNumberFormat="1"/>
    <xf borderId="15" fillId="0" fontId="14" numFmtId="165" xfId="0" applyAlignment="1" applyBorder="1" applyFont="1" applyNumberFormat="1">
      <alignment readingOrder="0"/>
    </xf>
    <xf borderId="16" fillId="4" fontId="4" numFmtId="0" xfId="0" applyBorder="1" applyFont="1"/>
    <xf borderId="17" fillId="4" fontId="4" numFmtId="0" xfId="0" applyBorder="1" applyFont="1"/>
    <xf borderId="18" fillId="4" fontId="4" numFmtId="0" xfId="0" applyBorder="1" applyFont="1"/>
    <xf borderId="15" fillId="0" fontId="5" numFmtId="165" xfId="0" applyBorder="1" applyFont="1" applyNumberFormat="1"/>
    <xf borderId="14" fillId="0" fontId="4" numFmtId="0" xfId="0" applyBorder="1" applyFont="1"/>
    <xf borderId="15" fillId="0" fontId="4" numFmtId="0" xfId="0" applyBorder="1" applyFont="1"/>
    <xf borderId="15" fillId="0" fontId="13" numFmtId="165" xfId="0" applyAlignment="1" applyBorder="1" applyFont="1" applyNumberFormat="1">
      <alignment readingOrder="0"/>
    </xf>
    <xf borderId="19" fillId="4" fontId="4" numFmtId="0" xfId="0" applyBorder="1" applyFont="1"/>
    <xf borderId="20" fillId="4" fontId="4" numFmtId="0" xfId="0" applyBorder="1" applyFont="1"/>
    <xf borderId="21" fillId="4" fontId="4" numFmtId="0" xfId="0" applyBorder="1" applyFont="1"/>
    <xf borderId="15" fillId="0" fontId="12" numFmtId="166" xfId="0" applyBorder="1" applyFont="1" applyNumberFormat="1"/>
    <xf borderId="15" fillId="0" fontId="12" numFmtId="3" xfId="0" applyBorder="1" applyFont="1" applyNumberFormat="1"/>
    <xf borderId="15" fillId="0" fontId="13" numFmtId="3" xfId="0" applyAlignment="1" applyBorder="1" applyFont="1" applyNumberFormat="1">
      <alignment readingOrder="0"/>
    </xf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25" fillId="0" fontId="1" numFmtId="0" xfId="0" applyBorder="1" applyFont="1"/>
    <xf borderId="26" fillId="0" fontId="12" numFmtId="3" xfId="0" applyBorder="1" applyFont="1" applyNumberFormat="1"/>
    <xf borderId="27" fillId="0" fontId="4" numFmtId="0" xfId="0" applyBorder="1" applyFont="1"/>
    <xf borderId="25" fillId="0" fontId="4" numFmtId="0" xfId="0" applyBorder="1" applyFont="1"/>
    <xf borderId="26" fillId="0" fontId="4" numFmtId="2" xfId="0" applyBorder="1" applyFont="1" applyNumberFormat="1"/>
    <xf borderId="0" fillId="0" fontId="1" numFmtId="2" xfId="0" applyFont="1" applyNumberFormat="1"/>
    <xf borderId="3" fillId="0" fontId="4" numFmtId="164" xfId="0" applyBorder="1" applyFont="1" applyNumberFormat="1"/>
    <xf borderId="0" fillId="0" fontId="6" numFmtId="164" xfId="0" applyFont="1" applyNumberFormat="1"/>
    <xf borderId="0" fillId="7" fontId="15" numFmtId="0" xfId="0" applyAlignment="1" applyFill="1" applyFont="1">
      <alignment readingOrder="0"/>
    </xf>
    <xf borderId="0" fillId="0" fontId="9" numFmtId="49" xfId="0" applyAlignment="1" applyFont="1" applyNumberFormat="1">
      <alignment readingOrder="0"/>
    </xf>
    <xf borderId="0" fillId="0" fontId="6" numFmtId="2" xfId="0" applyFont="1" applyNumberFormat="1"/>
    <xf borderId="0" fillId="0" fontId="6" numFmtId="167" xfId="0" applyFont="1" applyNumberFormat="1"/>
    <xf borderId="0" fillId="0" fontId="1" numFmtId="168" xfId="0" applyFont="1" applyNumberFormat="1"/>
    <xf borderId="0" fillId="0" fontId="1" numFmtId="4" xfId="0" applyFont="1" applyNumberFormat="1"/>
    <xf borderId="6" fillId="8" fontId="1" numFmtId="0" xfId="0" applyBorder="1" applyFill="1" applyFont="1"/>
    <xf borderId="6" fillId="8" fontId="1" numFmtId="168" xfId="0" applyBorder="1" applyFont="1" applyNumberFormat="1"/>
    <xf borderId="6" fillId="4" fontId="1" numFmtId="168" xfId="0" applyBorder="1" applyFont="1" applyNumberFormat="1"/>
    <xf borderId="6" fillId="9" fontId="1" numFmtId="0" xfId="0" applyBorder="1" applyFill="1" applyFont="1"/>
    <xf borderId="6" fillId="9" fontId="2" numFmtId="0" xfId="0" applyBorder="1" applyFont="1"/>
    <xf borderId="6" fillId="9" fontId="1" numFmtId="168" xfId="0" applyBorder="1" applyFont="1" applyNumberFormat="1"/>
    <xf borderId="0" fillId="0" fontId="16" numFmtId="0" xfId="0" applyFont="1"/>
    <xf borderId="28" fillId="0" fontId="2" numFmtId="0" xfId="0" applyBorder="1" applyFont="1"/>
    <xf borderId="29" fillId="2" fontId="3" numFmtId="0" xfId="0" applyBorder="1" applyFont="1"/>
    <xf borderId="2" fillId="0" fontId="17" numFmtId="0" xfId="0" applyBorder="1" applyFont="1"/>
    <xf borderId="0" fillId="0" fontId="2" numFmtId="0" xfId="0" applyAlignment="1" applyFont="1">
      <alignment horizontal="right"/>
    </xf>
    <xf borderId="0" fillId="0" fontId="2" numFmtId="9" xfId="0" applyAlignment="1" applyFont="1" applyNumberFormat="1">
      <alignment horizontal="right"/>
    </xf>
    <xf borderId="6" fillId="10" fontId="3" numFmtId="0" xfId="0" applyBorder="1" applyFill="1" applyFont="1"/>
    <xf borderId="6" fillId="11" fontId="3" numFmtId="0" xfId="0" applyBorder="1" applyFill="1" applyFont="1"/>
    <xf borderId="6" fillId="11" fontId="4" numFmtId="0" xfId="0" applyBorder="1" applyFont="1"/>
    <xf borderId="0" fillId="0" fontId="4" numFmtId="10" xfId="0" applyFont="1" applyNumberFormat="1"/>
    <xf borderId="6" fillId="10" fontId="4" numFmtId="168" xfId="0" applyBorder="1" applyFont="1" applyNumberFormat="1"/>
    <xf borderId="6" fillId="11" fontId="4" numFmtId="169" xfId="0" applyBorder="1" applyFont="1" applyNumberFormat="1"/>
    <xf borderId="10" fillId="5" fontId="8" numFmtId="0" xfId="0" applyAlignment="1" applyBorder="1" applyFont="1">
      <alignment readingOrder="0"/>
    </xf>
    <xf borderId="10" fillId="5" fontId="7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6" numFmtId="168" xfId="0" applyFont="1" applyNumberFormat="1"/>
    <xf borderId="0" fillId="0" fontId="4" numFmtId="168" xfId="0" applyFont="1" applyNumberFormat="1"/>
    <xf borderId="30" fillId="0" fontId="4" numFmtId="0" xfId="0" applyBorder="1" applyFont="1"/>
    <xf borderId="31" fillId="0" fontId="1" numFmtId="0" xfId="0" applyBorder="1" applyFont="1"/>
    <xf borderId="10" fillId="0" fontId="1" numFmtId="0" xfId="0" applyBorder="1" applyFont="1"/>
    <xf borderId="32" fillId="0" fontId="1" numFmtId="0" xfId="0" applyBorder="1" applyFont="1"/>
    <xf borderId="28" fillId="0" fontId="5" numFmtId="0" xfId="0" applyBorder="1" applyFont="1"/>
    <xf borderId="28" fillId="0" fontId="13" numFmtId="9" xfId="0" applyBorder="1" applyFont="1" applyNumberFormat="1"/>
    <xf borderId="6" fillId="3" fontId="4" numFmtId="0" xfId="0" applyBorder="1" applyFont="1"/>
    <xf borderId="6" fillId="3" fontId="4" numFmtId="4" xfId="0" applyBorder="1" applyFont="1" applyNumberFormat="1"/>
    <xf borderId="28" fillId="0" fontId="1" numFmtId="165" xfId="0" applyBorder="1" applyFont="1" applyNumberFormat="1"/>
    <xf borderId="28" fillId="0" fontId="1" numFmtId="166" xfId="0" applyBorder="1" applyFont="1" applyNumberFormat="1"/>
    <xf borderId="28" fillId="0" fontId="1" numFmtId="3" xfId="0" applyBorder="1" applyFont="1" applyNumberFormat="1"/>
    <xf borderId="33" fillId="0" fontId="4" numFmtId="0" xfId="0" applyBorder="1" applyFont="1"/>
    <xf borderId="34" fillId="0" fontId="18" numFmtId="3" xfId="0" applyBorder="1" applyFont="1" applyNumberFormat="1"/>
    <xf borderId="24" fillId="0" fontId="19" numFmtId="3" xfId="0" applyBorder="1" applyFont="1" applyNumberFormat="1"/>
    <xf borderId="0" fillId="0" fontId="4" numFmtId="4" xfId="0" applyFont="1" applyNumberFormat="1"/>
    <xf borderId="35" fillId="3" fontId="4" numFmtId="0" xfId="0" applyBorder="1" applyFont="1"/>
    <xf borderId="9" fillId="3" fontId="4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Total Chassis Weight vs. Material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Weight</c:v>
          </c:tx>
          <c:spPr>
            <a:solidFill>
              <a:srgbClr val="156082"/>
            </a:solidFill>
            <a:ln cmpd="sng" w="38100">
              <a:solidFill>
                <a:srgbClr val="000000"/>
              </a:solidFill>
            </a:ln>
          </c:spPr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'Material Deflection'!$A$2:$A$6</c:f>
            </c:strRef>
          </c:cat>
          <c:val>
            <c:numRef>
              <c:f>'Material Deflection'!$K$2:$K$6</c:f>
              <c:numCache/>
            </c:numRef>
          </c:val>
        </c:ser>
        <c:axId val="1292814134"/>
        <c:axId val="1166463455"/>
      </c:barChart>
      <c:catAx>
        <c:axId val="12928141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Chassis Material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66463455"/>
      </c:catAx>
      <c:valAx>
        <c:axId val="1166463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Total Weight (lbs)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9281413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Proj. MPGe Increase vs Material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'Fuel Model (v2)'!$F$21:$F$24</c:f>
            </c:strRef>
          </c:cat>
          <c:val>
            <c:numRef>
              <c:f>'Fuel Model (v2)'!$H$21:$H$24</c:f>
              <c:numCache/>
            </c:numRef>
          </c:val>
        </c:ser>
        <c:axId val="1963910442"/>
        <c:axId val="1598493267"/>
      </c:barChart>
      <c:catAx>
        <c:axId val="1963910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Chassis Material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493267"/>
      </c:catAx>
      <c:valAx>
        <c:axId val="1598493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MPGe Increase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391044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Proj. % MPGe Increase vs Design Choice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'Fuel Model (v2)'!$H$27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'Fuel Model (v2)'!$F$28:$F$34</c:f>
            </c:strRef>
          </c:cat>
          <c:val>
            <c:numRef>
              <c:f>'Fuel Model (v2)'!$H$28:$H$34</c:f>
              <c:numCache/>
            </c:numRef>
          </c:val>
        </c:ser>
        <c:axId val="1769050512"/>
        <c:axId val="41382599"/>
      </c:barChart>
      <c:catAx>
        <c:axId val="1769050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Design Changes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382599"/>
      </c:catAx>
      <c:valAx>
        <c:axId val="413825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% MPGe Increase from Current HFCV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90505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'Fuel Model (v2)'!$K$36:$K$42</cx:f>
      </cx:numDim>
      <cx:strDim type="cat">
        <cx:f>'Fuel Model (v2)'!$J$36:$J$42</cx:f>
      </cx:strDim>
    </cx:data>
  </cx:chartData>
  <cx:chart>
    <cx:title overlay="0">
      <cx:txPr>
        <a:bodyPr/>
        <a:lstStyle/>
        <a:p>
          <a:pPr lvl="0">
            <a:defRPr b="1">
              <a:solidFill>
                <a:srgbClr val="757575"/>
              </a:solidFill>
              <a:latin typeface="+mn-lt"/>
            </a:defRPr>
          </a:pPr>
          <a:r>
            <a:rPr b="1">
              <a:solidFill>
                <a:srgbClr val="757575"/>
              </a:solidFill>
              <a:latin typeface="+mn-lt"/>
            </a:rPr>
            <a:t>Compounding Effect of Design Implementations</a:t>
          </a:r>
        </a:p>
      </cx:txPr>
    </cx:title>
    <cx:plotArea>
      <cx:plotAreaRegion>
        <cx:series layoutId="waterfall" uniqueId="{3D39EC8E-C48D-4994-8B9A-B16CE512F44C}"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1">
                  <a:solidFill>
                    <a:srgbClr val="000000"/>
                  </a:solidFill>
                  <a:latin typeface="+mn-lt"/>
                </a:defRPr>
              </a:pPr>
              <a:r>
                <a:rPr b="1">
                  <a:solidFill>
                    <a:srgbClr val="000000"/>
                  </a:solidFill>
                  <a:latin typeface="+mn-lt"/>
                </a:rPr>
                <a:t>Design Implementations</a:t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1">
                  <a:solidFill>
                    <a:srgbClr val="000000"/>
                  </a:solidFill>
                  <a:latin typeface="+mn-lt"/>
                </a:defRPr>
              </a:pPr>
              <a:r>
                <a:rPr b="1">
                  <a:solidFill>
                    <a:srgbClr val="000000"/>
                  </a:solidFill>
                  <a:latin typeface="+mn-lt"/>
                </a:rPr>
                <a:t>MPGe Increase</a:t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</cx:chart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FF0000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762000</xdr:colOff>
      <xdr:row>7</xdr:row>
      <xdr:rowOff>152400</xdr:rowOff>
    </xdr:from>
    <xdr:ext cx="5715000" cy="3533775"/>
    <xdr:graphicFrame>
      <xdr:nvGraphicFramePr>
        <xdr:cNvPr id="192633785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838200</xdr:colOff>
      <xdr:row>20</xdr:row>
      <xdr:rowOff>133350</xdr:rowOff>
    </xdr:from>
    <xdr:ext cx="5715000" cy="3533775"/>
    <xdr:graphicFrame>
      <xdr:nvGraphicFramePr>
        <xdr:cNvPr id="43473926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581025</xdr:colOff>
      <xdr:row>4</xdr:row>
      <xdr:rowOff>28575</xdr:rowOff>
    </xdr:from>
    <xdr:ext cx="5715000" cy="3533775"/>
    <xdr:graphicFrame>
      <xdr:nvGraphicFramePr>
        <xdr:cNvPr id="192762846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9525</xdr:colOff>
      <xdr:row>24</xdr:row>
      <xdr:rowOff>142875</xdr:rowOff>
    </xdr:from>
    <xdr:ext cx="5715000" cy="3533775"/>
    <mc:AlternateContent>
      <mc:Choice Requires="cx1">
        <xdr:graphicFrame>
          <xdr:nvGraphicFramePr>
            <xdr:cNvPr id="667239205" name="Chart 4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3"/>
            </a:graphicData>
          </a:graphic>
        </xdr:graphicFrame>
      </mc:Choice>
      <mc:Fallback>
        <xdr:sp>
          <xdr:nvSpPr>
            <xdr:cNvPr id="5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5"/>
    <col customWidth="1" min="2" max="2" width="18.75"/>
    <col customWidth="1" min="3" max="3" width="20.13"/>
    <col customWidth="1" min="4" max="4" width="8.88"/>
    <col customWidth="1" min="5" max="5" width="10.5"/>
    <col customWidth="1" min="6" max="6" width="11.88"/>
    <col customWidth="1" min="7" max="7" width="13.38"/>
    <col customWidth="1" min="8" max="8" width="19.13"/>
    <col customWidth="1" min="9" max="9" width="18.88"/>
    <col customWidth="1" min="10" max="10" width="22.13"/>
    <col customWidth="1" min="11" max="11" width="12.5"/>
    <col customWidth="1" min="12" max="12" width="23.88"/>
    <col customWidth="1" min="13" max="13" width="9.5"/>
    <col customWidth="1" min="14" max="14" width="16.13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6" t="s">
        <v>13</v>
      </c>
    </row>
    <row r="2" ht="14.25" customHeight="1">
      <c r="A2" s="1" t="s">
        <v>14</v>
      </c>
      <c r="B2" s="1">
        <v>210.0</v>
      </c>
      <c r="C2" s="1">
        <v>7.85</v>
      </c>
      <c r="D2" s="1">
        <v>0.03</v>
      </c>
      <c r="E2" s="1">
        <v>0.75</v>
      </c>
      <c r="F2" s="1">
        <f t="shared" ref="F2:F5" si="1">3.14*(E2^4-(E2-D2)^4)/4</f>
        <v>0.03741913665</v>
      </c>
      <c r="G2" s="1">
        <f t="shared" ref="G2:G6" si="2">B2*145037.738</f>
        <v>30457924.98</v>
      </c>
      <c r="H2" s="1">
        <f t="shared" ref="H2:H6" si="3">B$16^(2)*B$17/(48*G2*F2)</f>
        <v>0.02632250271</v>
      </c>
      <c r="I2" s="1">
        <f t="shared" ref="I2:I5" si="4">0.0361*C2*((E2^2*3.14)-((E2-D2)^2*3.14))*B$16</f>
        <v>2.354487269</v>
      </c>
      <c r="J2" s="1">
        <f t="shared" ref="J2:J6" si="5">I2/B$16*$B$18*12</f>
        <v>37.67179631</v>
      </c>
      <c r="K2" s="7">
        <f t="shared" ref="K2:K6" si="6">J2+$B$14</f>
        <v>84.67179631</v>
      </c>
      <c r="L2" s="8">
        <f t="shared" ref="L2:L5" si="7">$K$6-K2</f>
        <v>48.21010369</v>
      </c>
      <c r="M2" s="9">
        <f t="shared" ref="M2:M5" si="8">L2/$K$6</f>
        <v>0.3628041418</v>
      </c>
      <c r="N2" s="10">
        <f t="shared" ref="N2:N6" si="9">K2+$B$22</f>
        <v>194.9217963</v>
      </c>
    </row>
    <row r="3" ht="14.25" customHeight="1">
      <c r="A3" s="1" t="s">
        <v>15</v>
      </c>
      <c r="B3" s="1">
        <v>69.0</v>
      </c>
      <c r="C3" s="1">
        <v>2.7</v>
      </c>
      <c r="D3" s="1">
        <v>0.1</v>
      </c>
      <c r="E3" s="1">
        <v>0.75</v>
      </c>
      <c r="F3" s="1">
        <f t="shared" si="1"/>
        <v>0.1082515</v>
      </c>
      <c r="G3" s="1">
        <f t="shared" si="2"/>
        <v>10007603.92</v>
      </c>
      <c r="H3" s="1">
        <f t="shared" si="3"/>
        <v>0.02769218493</v>
      </c>
      <c r="I3" s="1">
        <f t="shared" si="4"/>
        <v>2.57086872</v>
      </c>
      <c r="J3" s="1">
        <f t="shared" si="5"/>
        <v>41.13389952</v>
      </c>
      <c r="K3" s="7">
        <f t="shared" si="6"/>
        <v>88.13389952</v>
      </c>
      <c r="L3" s="8">
        <f t="shared" si="7"/>
        <v>44.74800048</v>
      </c>
      <c r="M3" s="9">
        <f t="shared" si="8"/>
        <v>0.3367501554</v>
      </c>
      <c r="N3" s="10">
        <f t="shared" si="9"/>
        <v>198.3838995</v>
      </c>
    </row>
    <row r="4" ht="14.25" customHeight="1">
      <c r="A4" s="11" t="s">
        <v>16</v>
      </c>
      <c r="B4" s="1">
        <v>260.0</v>
      </c>
      <c r="C4" s="1">
        <v>0.388289</v>
      </c>
      <c r="D4" s="1">
        <v>0.2</v>
      </c>
      <c r="E4" s="1">
        <v>0.625</v>
      </c>
      <c r="F4" s="1">
        <f t="shared" si="1"/>
        <v>0.0941705625</v>
      </c>
      <c r="G4" s="1">
        <f t="shared" si="2"/>
        <v>37709811.88</v>
      </c>
      <c r="H4" s="1">
        <f t="shared" si="3"/>
        <v>0.008447957577</v>
      </c>
      <c r="I4" s="1">
        <f t="shared" si="4"/>
        <v>0.5545778025</v>
      </c>
      <c r="J4" s="1">
        <f t="shared" si="5"/>
        <v>8.873244839</v>
      </c>
      <c r="K4" s="7">
        <f t="shared" si="6"/>
        <v>55.87324484</v>
      </c>
      <c r="L4" s="8">
        <f t="shared" si="7"/>
        <v>77.00865516</v>
      </c>
      <c r="M4" s="9">
        <f t="shared" si="8"/>
        <v>0.5795270474</v>
      </c>
      <c r="N4" s="10">
        <f t="shared" si="9"/>
        <v>166.1232448</v>
      </c>
    </row>
    <row r="5" ht="14.25" customHeight="1">
      <c r="A5" s="1" t="s">
        <v>17</v>
      </c>
      <c r="B5" s="1">
        <v>193.0</v>
      </c>
      <c r="C5" s="1">
        <v>7.93</v>
      </c>
      <c r="D5" s="1">
        <v>0.03</v>
      </c>
      <c r="E5" s="1">
        <v>0.75</v>
      </c>
      <c r="F5" s="1">
        <f t="shared" si="1"/>
        <v>0.03741913665</v>
      </c>
      <c r="G5" s="1">
        <f t="shared" si="2"/>
        <v>27992283.43</v>
      </c>
      <c r="H5" s="1">
        <f t="shared" si="3"/>
        <v>0.02864106512</v>
      </c>
      <c r="I5" s="1">
        <f t="shared" si="4"/>
        <v>2.378482044</v>
      </c>
      <c r="J5" s="1">
        <f t="shared" si="5"/>
        <v>38.05571271</v>
      </c>
      <c r="K5" s="7">
        <f t="shared" si="6"/>
        <v>85.05571271</v>
      </c>
      <c r="L5" s="8">
        <f t="shared" si="7"/>
        <v>47.82618729</v>
      </c>
      <c r="M5" s="9">
        <f t="shared" si="8"/>
        <v>0.3599149869</v>
      </c>
      <c r="N5" s="10">
        <f t="shared" si="9"/>
        <v>195.3057127</v>
      </c>
    </row>
    <row r="6" ht="14.25" customHeight="1">
      <c r="A6" s="12" t="s">
        <v>18</v>
      </c>
      <c r="B6" s="13">
        <v>193.0</v>
      </c>
      <c r="C6" s="13">
        <v>7.93</v>
      </c>
      <c r="D6" s="13">
        <f>1/8</f>
        <v>0.125</v>
      </c>
      <c r="E6" s="13">
        <v>0.75</v>
      </c>
      <c r="F6" s="13">
        <f>E6^3*D6*4/6</f>
        <v>0.03515625</v>
      </c>
      <c r="G6" s="13">
        <f t="shared" si="2"/>
        <v>27992283.43</v>
      </c>
      <c r="H6" s="13">
        <f t="shared" si="3"/>
        <v>0.03048459177</v>
      </c>
      <c r="I6" s="13">
        <f>0.0361*(E6^2-(E6-2*D6)^2)*B16*C6</f>
        <v>5.36761875</v>
      </c>
      <c r="J6" s="1">
        <f t="shared" si="5"/>
        <v>85.8819</v>
      </c>
      <c r="K6" s="14">
        <f t="shared" si="6"/>
        <v>132.8819</v>
      </c>
      <c r="L6" s="15"/>
      <c r="M6" s="15"/>
      <c r="N6" s="16">
        <f t="shared" si="9"/>
        <v>243.1319</v>
      </c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ht="14.25" customHeight="1">
      <c r="A8" s="11" t="s">
        <v>19</v>
      </c>
      <c r="B8" s="11">
        <v>131.9</v>
      </c>
    </row>
    <row r="9" ht="14.25" customHeight="1">
      <c r="A9" s="1" t="s">
        <v>20</v>
      </c>
      <c r="B9" s="17">
        <v>7.5</v>
      </c>
    </row>
    <row r="10" ht="14.25" customHeight="1">
      <c r="A10" s="1" t="s">
        <v>21</v>
      </c>
      <c r="B10" s="17">
        <v>7.0</v>
      </c>
      <c r="F10" s="11"/>
      <c r="L10" s="1" t="s">
        <v>14</v>
      </c>
      <c r="M10" s="18">
        <v>194.92179631040005</v>
      </c>
    </row>
    <row r="11" ht="14.25" customHeight="1">
      <c r="A11" s="1" t="s">
        <v>22</v>
      </c>
      <c r="B11" s="17">
        <v>2.5</v>
      </c>
      <c r="L11" s="1" t="s">
        <v>15</v>
      </c>
      <c r="M11" s="18">
        <v>198.38389952</v>
      </c>
    </row>
    <row r="12" ht="14.25" customHeight="1">
      <c r="A12" s="1" t="s">
        <v>23</v>
      </c>
      <c r="B12" s="17">
        <v>25.0</v>
      </c>
      <c r="L12" s="11" t="s">
        <v>16</v>
      </c>
      <c r="M12" s="18">
        <v>166.1232448392896</v>
      </c>
    </row>
    <row r="13" ht="14.25" customHeight="1">
      <c r="A13" s="1" t="s">
        <v>24</v>
      </c>
      <c r="B13" s="17">
        <v>5.0</v>
      </c>
      <c r="L13" s="1" t="s">
        <v>17</v>
      </c>
      <c r="M13" s="18">
        <v>195.30571270592006</v>
      </c>
    </row>
    <row r="14" ht="14.25" customHeight="1">
      <c r="A14" s="1" t="s">
        <v>25</v>
      </c>
      <c r="B14" s="17">
        <f>SUM(B9:B13)</f>
        <v>47</v>
      </c>
      <c r="L14" s="12" t="s">
        <v>18</v>
      </c>
      <c r="M14" s="18">
        <v>243.1319</v>
      </c>
    </row>
    <row r="15" ht="14.25" customHeight="1">
      <c r="B15" s="11"/>
    </row>
    <row r="16" ht="14.25" customHeight="1">
      <c r="A16" s="1" t="s">
        <v>26</v>
      </c>
      <c r="B16" s="17">
        <v>60.0</v>
      </c>
    </row>
    <row r="17" ht="14.25" customHeight="1">
      <c r="A17" s="1" t="s">
        <v>27</v>
      </c>
      <c r="B17" s="17">
        <v>400.0</v>
      </c>
    </row>
    <row r="18" ht="14.25" customHeight="1">
      <c r="A18" s="1" t="s">
        <v>28</v>
      </c>
      <c r="B18" s="17">
        <v>80.0</v>
      </c>
    </row>
    <row r="19" ht="14.25" customHeight="1"/>
    <row r="20" ht="14.25" customHeight="1"/>
    <row r="21" ht="14.25" customHeight="1">
      <c r="A21" s="1" t="s">
        <v>29</v>
      </c>
    </row>
    <row r="22" ht="14.25" customHeight="1">
      <c r="A22" s="1" t="s">
        <v>30</v>
      </c>
      <c r="B22" s="1">
        <v>110.25</v>
      </c>
    </row>
    <row r="23" ht="14.25" customHeight="1">
      <c r="A23" s="1" t="s">
        <v>31</v>
      </c>
      <c r="B23" s="1">
        <v>308.7</v>
      </c>
    </row>
    <row r="24" ht="14.25" customHeight="1">
      <c r="A24" s="11" t="s">
        <v>32</v>
      </c>
    </row>
    <row r="25" ht="14.25" customHeight="1"/>
    <row r="26" ht="14.25" customHeight="1">
      <c r="A26" s="11" t="s">
        <v>33</v>
      </c>
      <c r="B26" s="11" t="s">
        <v>34</v>
      </c>
      <c r="C26" s="11" t="s">
        <v>35</v>
      </c>
    </row>
    <row r="27" ht="14.25" customHeight="1">
      <c r="A27" s="1" t="s">
        <v>36</v>
      </c>
      <c r="B27" s="1">
        <v>20.0</v>
      </c>
      <c r="C27" s="1">
        <f t="shared" ref="C27:C28" si="10">0.0361*$C$2*(($E$2^2*3.14)-(($E$2-$D$2)^2*3.14))*($B27*12)</f>
        <v>9.417949078</v>
      </c>
    </row>
    <row r="28" ht="14.25" customHeight="1">
      <c r="A28" s="1" t="s">
        <v>37</v>
      </c>
      <c r="B28" s="1">
        <v>15.0</v>
      </c>
      <c r="C28" s="1">
        <f t="shared" si="10"/>
        <v>7.063461808</v>
      </c>
    </row>
    <row r="29" ht="14.25" customHeight="1">
      <c r="A29" s="1"/>
    </row>
    <row r="30" ht="14.25" customHeight="1">
      <c r="A30" s="1"/>
    </row>
    <row r="31" ht="14.25" customHeight="1">
      <c r="A31" s="19" t="s">
        <v>38</v>
      </c>
      <c r="B31" s="20" t="s">
        <v>39</v>
      </c>
      <c r="C31" s="19" t="s">
        <v>40</v>
      </c>
      <c r="G31" s="21" t="s">
        <v>41</v>
      </c>
      <c r="H31" s="22" t="s">
        <v>42</v>
      </c>
      <c r="I31" s="22" t="s">
        <v>43</v>
      </c>
      <c r="J31" s="22" t="s">
        <v>44</v>
      </c>
    </row>
    <row r="32" ht="14.25" customHeight="1">
      <c r="A32" s="1" t="s">
        <v>20</v>
      </c>
      <c r="B32" s="23">
        <v>7.2</v>
      </c>
      <c r="C32" s="24">
        <f t="shared" ref="C32:C38" si="11">B32/$B$39</f>
        <v>0.05458680819</v>
      </c>
      <c r="G32" s="25">
        <v>1.0</v>
      </c>
      <c r="H32" s="25">
        <v>6.25</v>
      </c>
      <c r="I32" s="25">
        <v>1.28</v>
      </c>
      <c r="J32" s="26">
        <f t="shared" ref="J32:J35" si="12">((I32)*($N$6*0.453)+($N$6*0.453)*(0.5))*(H32/3)</f>
        <v>408.4312005</v>
      </c>
    </row>
    <row r="33" ht="14.25" customHeight="1">
      <c r="A33" s="1" t="s">
        <v>21</v>
      </c>
      <c r="B33" s="23">
        <v>6.8</v>
      </c>
      <c r="C33" s="24">
        <f t="shared" si="11"/>
        <v>0.05155420773</v>
      </c>
      <c r="G33" s="25">
        <v>2.0</v>
      </c>
      <c r="H33" s="25">
        <v>6.62</v>
      </c>
      <c r="I33" s="25">
        <v>4.04</v>
      </c>
      <c r="J33" s="26">
        <f t="shared" si="12"/>
        <v>1103.399375</v>
      </c>
    </row>
    <row r="34" ht="14.25" customHeight="1">
      <c r="A34" s="1" t="s">
        <v>22</v>
      </c>
      <c r="B34" s="23">
        <v>1.5</v>
      </c>
      <c r="C34" s="24">
        <f t="shared" si="11"/>
        <v>0.01137225171</v>
      </c>
      <c r="G34" s="25">
        <v>3.0</v>
      </c>
      <c r="H34" s="25">
        <v>6.75</v>
      </c>
      <c r="I34" s="25">
        <v>3.0</v>
      </c>
      <c r="J34" s="26">
        <f t="shared" si="12"/>
        <v>867.3426618</v>
      </c>
    </row>
    <row r="35" ht="14.25" customHeight="1">
      <c r="A35" s="1" t="s">
        <v>23</v>
      </c>
      <c r="B35" s="23">
        <v>25.2</v>
      </c>
      <c r="C35" s="24">
        <f t="shared" si="11"/>
        <v>0.1910538287</v>
      </c>
      <c r="G35" s="23">
        <v>5.0</v>
      </c>
      <c r="H35" s="25">
        <v>6.5</v>
      </c>
      <c r="I35" s="25">
        <v>6.2</v>
      </c>
      <c r="J35" s="26">
        <f t="shared" si="12"/>
        <v>1598.847531</v>
      </c>
    </row>
    <row r="36" ht="14.25" customHeight="1">
      <c r="A36" s="1" t="s">
        <v>24</v>
      </c>
      <c r="B36" s="23">
        <v>2.3</v>
      </c>
      <c r="C36" s="24">
        <f t="shared" si="11"/>
        <v>0.01743745262</v>
      </c>
      <c r="G36" s="27" t="s">
        <v>45</v>
      </c>
      <c r="H36" s="28">
        <f t="shared" ref="H36:J36" si="13">AVERAGE(H32:H35)</f>
        <v>6.53</v>
      </c>
      <c r="I36" s="28">
        <f t="shared" si="13"/>
        <v>3.63</v>
      </c>
      <c r="J36" s="28">
        <f t="shared" si="13"/>
        <v>994.505192</v>
      </c>
    </row>
    <row r="37" ht="14.25" customHeight="1">
      <c r="A37" s="29" t="s">
        <v>46</v>
      </c>
      <c r="B37" s="30">
        <f>sum(B32:B36)</f>
        <v>43</v>
      </c>
      <c r="C37" s="31">
        <f t="shared" si="11"/>
        <v>0.3260045489</v>
      </c>
      <c r="J37" s="24">
        <f>(1000-J36)/1000</f>
        <v>0.005494807971</v>
      </c>
    </row>
    <row r="38" ht="14.25" customHeight="1">
      <c r="A38" s="32" t="s">
        <v>47</v>
      </c>
      <c r="B38" s="32">
        <v>88.9</v>
      </c>
      <c r="C38" s="33">
        <f t="shared" si="11"/>
        <v>0.6739954511</v>
      </c>
      <c r="G38" s="21" t="s">
        <v>41</v>
      </c>
      <c r="H38" s="22" t="s">
        <v>42</v>
      </c>
      <c r="I38" s="22" t="s">
        <v>43</v>
      </c>
      <c r="J38" s="22" t="s">
        <v>48</v>
      </c>
    </row>
    <row r="39" ht="14.25" customHeight="1">
      <c r="A39" s="23" t="s">
        <v>49</v>
      </c>
      <c r="B39" s="26">
        <f>sum(B37:B38)</f>
        <v>131.9</v>
      </c>
      <c r="G39" s="25">
        <v>1.0</v>
      </c>
      <c r="H39" s="25">
        <v>9.205</v>
      </c>
      <c r="I39" s="25">
        <v>0.0</v>
      </c>
      <c r="J39" s="26">
        <f t="shared" ref="J39:J41" si="14">((I39)*($N$6*0.453)+($N$6*0.453)*(0.5))*(H39/3)</f>
        <v>168.9712</v>
      </c>
    </row>
    <row r="40" ht="14.25" customHeight="1">
      <c r="G40" s="25">
        <v>2.0</v>
      </c>
      <c r="H40" s="25">
        <v>10.6</v>
      </c>
      <c r="I40" s="25">
        <v>0.1</v>
      </c>
      <c r="J40" s="26">
        <f t="shared" si="14"/>
        <v>233.4941515</v>
      </c>
    </row>
    <row r="41" ht="14.25" customHeight="1">
      <c r="G41" s="25">
        <v>3.0</v>
      </c>
      <c r="H41" s="25">
        <v>8.9</v>
      </c>
      <c r="I41" s="25">
        <v>4.1</v>
      </c>
      <c r="J41" s="26">
        <f t="shared" si="14"/>
        <v>1503.026818</v>
      </c>
    </row>
    <row r="42" ht="14.25" customHeight="1">
      <c r="G42" s="27" t="s">
        <v>45</v>
      </c>
      <c r="H42" s="28">
        <f t="shared" ref="H42:J42" si="15">AVERAGE(H38:H41)</f>
        <v>9.568333333</v>
      </c>
      <c r="I42" s="28">
        <f t="shared" si="15"/>
        <v>1.4</v>
      </c>
      <c r="J42" s="28">
        <f t="shared" si="15"/>
        <v>635.1640565</v>
      </c>
    </row>
    <row r="43" ht="14.25" customHeight="1"/>
    <row r="44" ht="14.25" customHeight="1">
      <c r="J44" s="24">
        <f>(1000-J42)/1000</f>
        <v>0.3648359435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25"/>
    <col customWidth="1" min="3" max="6" width="12.63"/>
    <col customWidth="1" min="10" max="10" width="24.75"/>
  </cols>
  <sheetData>
    <row r="2">
      <c r="B2" s="34" t="s">
        <v>50</v>
      </c>
      <c r="C2" s="34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/>
      <c r="I2" s="2" t="s">
        <v>56</v>
      </c>
      <c r="J2" s="34" t="s">
        <v>57</v>
      </c>
      <c r="K2" s="2"/>
      <c r="L2" s="2"/>
    </row>
    <row r="3">
      <c r="B3" s="2"/>
      <c r="C3" s="2" t="s">
        <v>58</v>
      </c>
      <c r="D3" s="2"/>
      <c r="E3" s="2"/>
      <c r="F3" s="2"/>
      <c r="G3" s="2"/>
      <c r="H3" s="2"/>
      <c r="I3" s="2"/>
      <c r="J3" s="2"/>
      <c r="K3" s="2"/>
      <c r="L3" s="2"/>
    </row>
    <row r="4">
      <c r="B4" s="2"/>
      <c r="C4" s="2" t="s">
        <v>59</v>
      </c>
      <c r="D4" s="2"/>
      <c r="E4" s="2"/>
      <c r="F4" s="2"/>
      <c r="G4" s="2"/>
      <c r="H4" s="2"/>
      <c r="I4" s="2"/>
      <c r="J4" s="2"/>
      <c r="K4" s="2"/>
      <c r="L4" s="2"/>
    </row>
    <row r="5">
      <c r="B5" s="2"/>
      <c r="C5" s="2" t="s">
        <v>60</v>
      </c>
      <c r="D5" s="2"/>
      <c r="E5" s="2"/>
      <c r="F5" s="2"/>
      <c r="G5" s="2"/>
      <c r="H5" s="2"/>
      <c r="I5" s="2"/>
      <c r="J5" s="2"/>
      <c r="K5" s="2"/>
      <c r="L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>
      <c r="B7" s="2"/>
      <c r="C7" s="34" t="s">
        <v>61</v>
      </c>
      <c r="D7" s="2" t="s">
        <v>62</v>
      </c>
      <c r="E7" s="2" t="s">
        <v>63</v>
      </c>
      <c r="F7" s="2" t="s">
        <v>54</v>
      </c>
      <c r="G7" s="2"/>
      <c r="H7" s="2"/>
      <c r="I7" s="2"/>
      <c r="J7" s="2"/>
      <c r="K7" s="2"/>
      <c r="L7" s="2"/>
    </row>
    <row r="8">
      <c r="B8" s="2"/>
      <c r="C8" s="2" t="s">
        <v>58</v>
      </c>
      <c r="D8" s="2"/>
      <c r="E8" s="2"/>
      <c r="F8" s="2"/>
      <c r="G8" s="2"/>
      <c r="H8" s="2"/>
      <c r="I8" s="2"/>
      <c r="J8" s="2"/>
      <c r="K8" s="2"/>
      <c r="L8" s="2"/>
    </row>
    <row r="9">
      <c r="B9" s="2"/>
      <c r="C9" s="2" t="s">
        <v>59</v>
      </c>
      <c r="D9" s="2"/>
      <c r="E9" s="2"/>
      <c r="F9" s="2"/>
      <c r="G9" s="2"/>
      <c r="H9" s="2"/>
      <c r="I9" s="2"/>
      <c r="J9" s="2"/>
      <c r="K9" s="2"/>
      <c r="L9" s="2"/>
    </row>
    <row r="10">
      <c r="B10" s="2"/>
      <c r="C10" s="2" t="s">
        <v>60</v>
      </c>
      <c r="D10" s="2"/>
      <c r="E10" s="2"/>
      <c r="F10" s="2"/>
      <c r="G10" s="2"/>
      <c r="H10" s="2"/>
      <c r="I10" s="2"/>
      <c r="J10" s="2"/>
      <c r="K10" s="2"/>
      <c r="L10" s="2"/>
    </row>
    <row r="11">
      <c r="B11" s="2"/>
      <c r="C11" s="2" t="s">
        <v>64</v>
      </c>
      <c r="D11" s="2"/>
      <c r="E11" s="2"/>
      <c r="F11" s="2"/>
      <c r="G11" s="2"/>
      <c r="H11" s="2"/>
      <c r="I11" s="2"/>
      <c r="J11" s="2"/>
      <c r="K11" s="2"/>
      <c r="L11" s="2"/>
    </row>
    <row r="13">
      <c r="A13" s="1" t="s">
        <v>65</v>
      </c>
      <c r="B13" s="11" t="s">
        <v>66</v>
      </c>
      <c r="J13" s="34" t="s">
        <v>67</v>
      </c>
    </row>
    <row r="21" ht="15.75" customHeight="1"/>
    <row r="22" ht="15.75" customHeight="1">
      <c r="B22" s="2" t="s">
        <v>68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33.88"/>
    <col customWidth="1" min="4" max="8" width="8.63"/>
    <col customWidth="1" min="9" max="9" width="37.0"/>
    <col customWidth="1" min="10" max="10" width="8.63"/>
  </cols>
  <sheetData>
    <row r="1" ht="14.25" customHeight="1"/>
    <row r="2" ht="14.25" customHeight="1">
      <c r="C2" s="11" t="s">
        <v>69</v>
      </c>
      <c r="I2" s="11" t="s">
        <v>70</v>
      </c>
    </row>
    <row r="3" ht="14.25" customHeight="1">
      <c r="C3" s="1" t="s">
        <v>71</v>
      </c>
      <c r="D3" s="35">
        <f>'Material Deflection'!N6</f>
        <v>243.1319</v>
      </c>
      <c r="I3" s="1" t="s">
        <v>71</v>
      </c>
      <c r="J3" s="35">
        <f t="shared" ref="J3:J4" si="1">D3</f>
        <v>243.1319</v>
      </c>
    </row>
    <row r="4" ht="14.25" customHeight="1">
      <c r="C4" s="1" t="s">
        <v>72</v>
      </c>
      <c r="D4" s="35">
        <f>'Material Deflection'!N4</f>
        <v>166.1232448</v>
      </c>
      <c r="I4" s="1" t="s">
        <v>72</v>
      </c>
      <c r="J4" s="35">
        <f t="shared" si="1"/>
        <v>166.1232448</v>
      </c>
    </row>
    <row r="5" ht="14.25" customHeight="1">
      <c r="C5" s="1" t="s">
        <v>73</v>
      </c>
      <c r="D5" s="36">
        <v>0.6</v>
      </c>
      <c r="I5" s="1" t="s">
        <v>74</v>
      </c>
      <c r="J5" s="36">
        <f>1-D5</f>
        <v>0.4</v>
      </c>
    </row>
    <row r="6" ht="14.25" customHeight="1">
      <c r="C6" s="1" t="s">
        <v>75</v>
      </c>
      <c r="D6" s="37">
        <f>0.5*'Material Deflection'!B10+'Material Deflection'!B12*0.5</f>
        <v>16</v>
      </c>
      <c r="I6" s="1" t="s">
        <v>76</v>
      </c>
      <c r="J6" s="37">
        <f>D6</f>
        <v>16</v>
      </c>
    </row>
    <row r="7" ht="14.25" customHeight="1">
      <c r="C7" s="1" t="s">
        <v>77</v>
      </c>
      <c r="D7" s="36"/>
      <c r="I7" s="1" t="s">
        <v>77</v>
      </c>
      <c r="J7" s="36"/>
    </row>
    <row r="8" ht="14.25" customHeight="1">
      <c r="C8" s="1" t="s">
        <v>78</v>
      </c>
      <c r="D8" s="36"/>
      <c r="I8" s="1" t="s">
        <v>78</v>
      </c>
      <c r="J8" s="36"/>
    </row>
    <row r="9" ht="14.25" customHeight="1">
      <c r="C9" s="1" t="s">
        <v>79</v>
      </c>
      <c r="D9" s="36"/>
      <c r="I9" s="1" t="s">
        <v>79</v>
      </c>
      <c r="J9" s="36"/>
    </row>
    <row r="10" ht="14.25" customHeight="1">
      <c r="C10" s="1" t="s">
        <v>80</v>
      </c>
      <c r="D10" s="36"/>
      <c r="I10" s="1" t="s">
        <v>80</v>
      </c>
      <c r="J10" s="36"/>
    </row>
    <row r="11" ht="14.25" customHeight="1"/>
    <row r="12" ht="14.25" customHeight="1">
      <c r="C12" s="11" t="s">
        <v>81</v>
      </c>
      <c r="I12" s="11" t="s">
        <v>81</v>
      </c>
    </row>
    <row r="13" ht="14.25" customHeight="1">
      <c r="C13" s="1" t="s">
        <v>82</v>
      </c>
      <c r="D13" s="1">
        <f>($D$3*$D$5)/2</f>
        <v>72.93957</v>
      </c>
      <c r="I13" s="1" t="s">
        <v>83</v>
      </c>
      <c r="J13" s="1">
        <f>$J$3*$J$5</f>
        <v>97.25276</v>
      </c>
    </row>
    <row r="14" ht="14.25" customHeight="1">
      <c r="C14" s="1" t="s">
        <v>84</v>
      </c>
      <c r="D14" s="1">
        <f>D13/2</f>
        <v>36.469785</v>
      </c>
      <c r="I14" s="1" t="s">
        <v>84</v>
      </c>
      <c r="J14" s="1">
        <f>J13</f>
        <v>97.25276</v>
      </c>
    </row>
    <row r="15" ht="14.25" customHeight="1">
      <c r="C15" s="1" t="s">
        <v>85</v>
      </c>
      <c r="D15" s="1" t="str">
        <f>($D$7/$D$8)*SIN($D$9)</f>
        <v>#DIV/0!</v>
      </c>
      <c r="I15" s="1" t="s">
        <v>86</v>
      </c>
      <c r="J15" s="1" t="str">
        <f>($J$7/$J$8)*SIN($J$9)</f>
        <v>#DIV/0!</v>
      </c>
    </row>
    <row r="16" ht="14.25" customHeight="1">
      <c r="C16" s="1" t="s">
        <v>87</v>
      </c>
      <c r="D16" s="1" t="str">
        <f t="array" ref="D16">(D14*0.454*4*pi^(2)*$D$10^(2))/1000</f>
        <v>#NAME?</v>
      </c>
      <c r="I16" s="1" t="s">
        <v>88</v>
      </c>
      <c r="J16" s="1" t="str">
        <f t="array" ref="J16">(J14*0.454*4*pi^(2)*$J$10^(2))/1000</f>
        <v>#NAME?</v>
      </c>
    </row>
    <row r="17" ht="14.25" customHeight="1">
      <c r="C17" s="38" t="s">
        <v>89</v>
      </c>
      <c r="D17" s="38" t="str">
        <f>D16*D15^2</f>
        <v>#NAME?</v>
      </c>
      <c r="I17" s="38" t="s">
        <v>89</v>
      </c>
      <c r="J17" s="38" t="str">
        <f>J16*J15^2</f>
        <v>#NAME?</v>
      </c>
    </row>
    <row r="18" ht="14.25" customHeight="1"/>
    <row r="19" ht="14.25" customHeight="1">
      <c r="C19" s="11" t="s">
        <v>90</v>
      </c>
      <c r="I19" s="11" t="s">
        <v>90</v>
      </c>
    </row>
    <row r="20" ht="14.25" customHeight="1">
      <c r="C20" s="1" t="s">
        <v>82</v>
      </c>
      <c r="D20" s="1">
        <f>($D$4*$D$5)/2</f>
        <v>49.83697345</v>
      </c>
      <c r="I20" s="1" t="s">
        <v>83</v>
      </c>
      <c r="J20" s="1">
        <f>($J$4*$J$5)/2</f>
        <v>33.22464897</v>
      </c>
    </row>
    <row r="21" ht="14.25" customHeight="1">
      <c r="C21" s="1" t="s">
        <v>84</v>
      </c>
      <c r="D21" s="1">
        <f>D20/2</f>
        <v>24.91848673</v>
      </c>
      <c r="I21" s="1" t="s">
        <v>84</v>
      </c>
      <c r="J21" s="1">
        <f>J20</f>
        <v>33.22464897</v>
      </c>
    </row>
    <row r="22" ht="14.25" customHeight="1">
      <c r="C22" s="1" t="s">
        <v>85</v>
      </c>
      <c r="D22" s="1" t="str">
        <f>($D$7/$D$8)*SIN($D$9)</f>
        <v>#DIV/0!</v>
      </c>
      <c r="I22" s="1" t="s">
        <v>86</v>
      </c>
      <c r="J22" s="1" t="str">
        <f>($J$7/$J$8)*SIN($J$9)</f>
        <v>#DIV/0!</v>
      </c>
    </row>
    <row r="23" ht="14.25" customHeight="1">
      <c r="C23" s="1" t="s">
        <v>87</v>
      </c>
      <c r="D23" s="1" t="str">
        <f t="array" ref="D23">(D21*0.454*4*pi^(2)*$D$10^(2))/1000</f>
        <v>#NAME?</v>
      </c>
      <c r="I23" s="1" t="s">
        <v>88</v>
      </c>
      <c r="J23" s="1" t="str">
        <f t="array" ref="J23">(J21*0.454*4*pi^(2)*$J$10^(2))/1000</f>
        <v>#NAME?</v>
      </c>
    </row>
    <row r="24" ht="14.25" customHeight="1">
      <c r="C24" s="38" t="s">
        <v>89</v>
      </c>
      <c r="D24" s="38" t="str">
        <f>D23*D22^2</f>
        <v>#NAME?</v>
      </c>
      <c r="I24" s="38" t="s">
        <v>89</v>
      </c>
      <c r="J24" s="38" t="str">
        <f>J23*J22^2</f>
        <v>#NAME?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3.5"/>
    <col customWidth="1" min="3" max="3" width="20.5"/>
    <col customWidth="1" min="4" max="4" width="21.63"/>
    <col customWidth="1" min="5" max="5" width="44.88"/>
    <col customWidth="1" min="6" max="6" width="14.13"/>
  </cols>
  <sheetData>
    <row r="2" ht="15.0" customHeight="1">
      <c r="A2" s="1" t="s">
        <v>91</v>
      </c>
    </row>
    <row r="3" ht="15.0" customHeight="1">
      <c r="B3" s="39" t="s">
        <v>92</v>
      </c>
      <c r="C3" s="40"/>
      <c r="E3" s="41" t="s">
        <v>93</v>
      </c>
      <c r="F3" s="41" t="s">
        <v>94</v>
      </c>
      <c r="G3" s="41" t="s">
        <v>81</v>
      </c>
    </row>
    <row r="4" ht="15.0" customHeight="1">
      <c r="B4" s="42" t="s">
        <v>95</v>
      </c>
      <c r="C4" s="43">
        <v>0.0</v>
      </c>
      <c r="E4" s="1" t="s">
        <v>96</v>
      </c>
      <c r="F4" s="26">
        <f t="shared" ref="F4:G4" si="1">((C31/$C$5)/1000)</f>
        <v>1856.398206</v>
      </c>
      <c r="G4" s="26">
        <f t="shared" si="1"/>
        <v>2465.746716</v>
      </c>
      <c r="H4" s="1"/>
    </row>
    <row r="5" ht="15.0" customHeight="1">
      <c r="B5" s="42" t="s">
        <v>97</v>
      </c>
      <c r="C5" s="44">
        <v>0.35</v>
      </c>
      <c r="E5" s="11" t="s">
        <v>98</v>
      </c>
      <c r="F5" s="11">
        <f t="shared" ref="F5:G5" si="2">F4/($C$13*$C$8)</f>
        <v>0.1848019875</v>
      </c>
      <c r="G5" s="11">
        <f t="shared" si="2"/>
        <v>0.2454618263</v>
      </c>
    </row>
    <row r="6" ht="15.0" customHeight="1">
      <c r="B6" s="42" t="s">
        <v>99</v>
      </c>
      <c r="C6" s="45">
        <v>15330.0</v>
      </c>
      <c r="E6" s="1" t="s">
        <v>100</v>
      </c>
      <c r="F6" s="26">
        <f t="shared" ref="F6:G6" si="3">($C$16*$C$12)*1000</f>
        <v>32801340</v>
      </c>
      <c r="G6" s="26">
        <f t="shared" si="3"/>
        <v>32801340</v>
      </c>
    </row>
    <row r="7" ht="15.0" customHeight="1">
      <c r="B7" s="42" t="s">
        <v>101</v>
      </c>
      <c r="C7" s="45">
        <v>30.0</v>
      </c>
      <c r="E7" s="1" t="s">
        <v>102</v>
      </c>
      <c r="F7" s="26">
        <f t="shared" ref="F7:G7" si="4">F5*(($C$8*$C$13)/(F6))</f>
        <v>0.00005659519416</v>
      </c>
      <c r="G7" s="26">
        <f t="shared" si="4"/>
        <v>0.00007517213371</v>
      </c>
      <c r="K7" s="26">
        <f>F5*C8</f>
        <v>0.01547901448</v>
      </c>
    </row>
    <row r="8" ht="15.0" customHeight="1">
      <c r="B8" s="42" t="s">
        <v>103</v>
      </c>
      <c r="C8" s="46">
        <v>0.08376</v>
      </c>
      <c r="E8" s="1" t="s">
        <v>104</v>
      </c>
      <c r="F8" s="26">
        <f t="shared" ref="F8:G8" si="5">($C$6*0.000621371)/F7</f>
        <v>168311.4189</v>
      </c>
      <c r="G8" s="26">
        <f t="shared" si="5"/>
        <v>126717.4012</v>
      </c>
    </row>
    <row r="9" ht="15.0" customHeight="1">
      <c r="B9" s="42" t="s">
        <v>105</v>
      </c>
      <c r="C9" s="47">
        <v>0.5</v>
      </c>
      <c r="E9" s="48" t="s">
        <v>106</v>
      </c>
      <c r="F9" s="49">
        <f t="shared" ref="F9:G9" si="6">F8/264.172</f>
        <v>637.1281546</v>
      </c>
      <c r="G9" s="50">
        <f t="shared" si="6"/>
        <v>479.677639</v>
      </c>
    </row>
    <row r="10" ht="15.0" customHeight="1">
      <c r="B10" s="42" t="s">
        <v>107</v>
      </c>
      <c r="C10" s="51">
        <v>0.65</v>
      </c>
      <c r="E10" s="52" t="s">
        <v>108</v>
      </c>
      <c r="F10" s="11">
        <f t="shared" ref="F10:G10" si="7">($C$6*0.001)/F5</f>
        <v>82.95365328</v>
      </c>
      <c r="G10" s="53">
        <f t="shared" si="7"/>
        <v>62.45370302</v>
      </c>
      <c r="H10" s="26">
        <v>12.3606212562687</v>
      </c>
    </row>
    <row r="11" ht="15.0" customHeight="1">
      <c r="B11" s="42" t="s">
        <v>109</v>
      </c>
      <c r="C11" s="54">
        <v>0.5</v>
      </c>
      <c r="E11" s="55" t="s">
        <v>110</v>
      </c>
      <c r="F11" s="56">
        <f t="shared" ref="F11:G11" si="8">($C$6*0.000621371)/F5</f>
        <v>51.54499449</v>
      </c>
      <c r="G11" s="57">
        <f t="shared" si="8"/>
        <v>38.8069199</v>
      </c>
    </row>
    <row r="12" ht="15.0" customHeight="1">
      <c r="B12" s="42" t="s">
        <v>111</v>
      </c>
      <c r="C12" s="58">
        <v>0.7646</v>
      </c>
      <c r="E12" s="11"/>
      <c r="F12" s="11"/>
      <c r="G12" s="1"/>
    </row>
    <row r="13" ht="15.0" customHeight="1">
      <c r="B13" s="42" t="s">
        <v>112</v>
      </c>
      <c r="C13" s="59">
        <v>119930.0</v>
      </c>
      <c r="E13" s="11"/>
      <c r="F13" s="11"/>
      <c r="G13" s="1"/>
      <c r="I13" s="25" t="s">
        <v>113</v>
      </c>
      <c r="J13" s="18">
        <v>479.67763899987256</v>
      </c>
    </row>
    <row r="14" ht="15.0" customHeight="1">
      <c r="B14" s="42" t="s">
        <v>114</v>
      </c>
      <c r="C14" s="60">
        <v>1000.0</v>
      </c>
      <c r="E14" s="61" t="s">
        <v>115</v>
      </c>
      <c r="F14" s="6">
        <f>$F$11-$G$11</f>
        <v>12.73807459</v>
      </c>
      <c r="G14" s="1"/>
      <c r="H14" s="18"/>
      <c r="I14" s="23">
        <v>1.0</v>
      </c>
      <c r="J14" s="18">
        <v>637.1281545911919</v>
      </c>
      <c r="K14" s="26">
        <f t="shared" ref="K14:K20" si="9">J14-$J$13</f>
        <v>157.4505156</v>
      </c>
    </row>
    <row r="15" ht="15.0" customHeight="1">
      <c r="B15" s="42" t="s">
        <v>116</v>
      </c>
      <c r="C15" s="59">
        <v>1.294</v>
      </c>
      <c r="E15" s="62" t="s">
        <v>117</v>
      </c>
      <c r="F15" s="63">
        <f>F9-G9</f>
        <v>157.4505156</v>
      </c>
      <c r="I15" s="25" t="s">
        <v>118</v>
      </c>
      <c r="J15" s="18">
        <v>697.2463825630143</v>
      </c>
      <c r="K15" s="26">
        <f t="shared" si="9"/>
        <v>217.5687436</v>
      </c>
    </row>
    <row r="16" ht="15.0" customHeight="1">
      <c r="B16" s="64" t="s">
        <v>119</v>
      </c>
      <c r="C16" s="65">
        <v>42900.0</v>
      </c>
      <c r="E16" s="11"/>
      <c r="F16" s="11"/>
      <c r="I16" s="25" t="s">
        <v>120</v>
      </c>
      <c r="J16" s="18">
        <v>896.4596347238758</v>
      </c>
      <c r="K16" s="26">
        <f t="shared" si="9"/>
        <v>416.7819957</v>
      </c>
    </row>
    <row r="17" ht="15.0" customHeight="1">
      <c r="B17" s="66" t="s">
        <v>121</v>
      </c>
      <c r="C17" s="18">
        <f>C18*(2/3)</f>
        <v>162.0879333</v>
      </c>
      <c r="I17" s="25">
        <v>2.0</v>
      </c>
      <c r="J17" s="18">
        <v>512.9958882031376</v>
      </c>
      <c r="K17" s="26">
        <f t="shared" si="9"/>
        <v>33.3182492</v>
      </c>
    </row>
    <row r="18" ht="15.0" customHeight="1">
      <c r="B18" s="67" t="s">
        <v>122</v>
      </c>
      <c r="C18" s="68">
        <f>'Material Deflection'!N6</f>
        <v>243.1319</v>
      </c>
      <c r="I18" s="25">
        <v>3.0</v>
      </c>
      <c r="J18" s="18">
        <v>616.7283929998363</v>
      </c>
      <c r="K18" s="26">
        <f t="shared" si="9"/>
        <v>137.050754</v>
      </c>
    </row>
    <row r="19">
      <c r="I19" s="25" t="s">
        <v>123</v>
      </c>
      <c r="J19" s="18">
        <v>659.5661419754629</v>
      </c>
      <c r="K19" s="26">
        <f t="shared" si="9"/>
        <v>179.888503</v>
      </c>
    </row>
    <row r="20" ht="15.0" customHeight="1">
      <c r="B20" s="41" t="s">
        <v>124</v>
      </c>
      <c r="C20" s="41" t="s">
        <v>94</v>
      </c>
      <c r="D20" s="41" t="s">
        <v>81</v>
      </c>
      <c r="H20" s="25" t="s">
        <v>125</v>
      </c>
      <c r="I20" s="25" t="s">
        <v>126</v>
      </c>
      <c r="J20" s="18">
        <v>819.1647701886754</v>
      </c>
      <c r="K20" s="26">
        <f t="shared" si="9"/>
        <v>339.4871312</v>
      </c>
    </row>
    <row r="21" ht="15.0" customHeight="1">
      <c r="B21" s="1" t="s">
        <v>127</v>
      </c>
      <c r="C21" s="69">
        <f>$C$17*0.453592</f>
        <v>73.52178986</v>
      </c>
      <c r="D21" s="69">
        <f>$C$18*0.453592</f>
        <v>110.2826848</v>
      </c>
      <c r="F21" s="1" t="s">
        <v>14</v>
      </c>
      <c r="G21" s="18">
        <v>194.92179631040005</v>
      </c>
      <c r="H21" s="70">
        <v>82.68837383900507</v>
      </c>
    </row>
    <row r="22" ht="15.0" customHeight="1">
      <c r="B22" s="1" t="s">
        <v>128</v>
      </c>
      <c r="C22" s="69">
        <f t="shared" ref="C22:D22" si="10">0.5*C21*($C$7*(1000/3600))^2</f>
        <v>2552.839926</v>
      </c>
      <c r="D22" s="69">
        <f t="shared" si="10"/>
        <v>3829.259888</v>
      </c>
      <c r="F22" s="1" t="s">
        <v>15</v>
      </c>
      <c r="G22" s="18">
        <v>198.38389952</v>
      </c>
      <c r="H22" s="71">
        <v>75.81372385520956</v>
      </c>
    </row>
    <row r="23" ht="15.0" customHeight="1">
      <c r="B23" s="1" t="s">
        <v>129</v>
      </c>
      <c r="C23" s="69">
        <f t="shared" ref="C23:D23" si="11">C22/$C$14</f>
        <v>2.552839926</v>
      </c>
      <c r="D23" s="69">
        <f t="shared" si="11"/>
        <v>3.829259888</v>
      </c>
      <c r="F23" s="11" t="s">
        <v>16</v>
      </c>
      <c r="G23" s="18">
        <v>166.1232448392896</v>
      </c>
      <c r="H23" s="71">
        <v>147.20986017340203</v>
      </c>
    </row>
    <row r="24" ht="15.0" customHeight="1">
      <c r="B24" s="1" t="s">
        <v>130</v>
      </c>
      <c r="C24" s="69">
        <f t="shared" ref="C24:D24" si="12">$C$14/(C21*$C$7*(1000/3600))</f>
        <v>1.632169187</v>
      </c>
      <c r="D24" s="69">
        <f t="shared" si="12"/>
        <v>1.088112792</v>
      </c>
      <c r="F24" s="1" t="s">
        <v>17</v>
      </c>
      <c r="G24" s="18">
        <v>195.30571270592006</v>
      </c>
      <c r="H24" s="71">
        <v>81.91767465676298</v>
      </c>
    </row>
    <row r="25" ht="15.0" customHeight="1">
      <c r="B25" s="1" t="s">
        <v>131</v>
      </c>
      <c r="C25" s="69">
        <f t="shared" ref="C25:D25" si="13">0.5*C24*C23^2</f>
        <v>5.318416512</v>
      </c>
      <c r="D25" s="69">
        <f t="shared" si="13"/>
        <v>7.977624767</v>
      </c>
      <c r="F25" s="12" t="s">
        <v>18</v>
      </c>
      <c r="G25" s="18">
        <v>243.1319</v>
      </c>
    </row>
    <row r="26" ht="15.0" customHeight="1">
      <c r="B26" s="1" t="s">
        <v>132</v>
      </c>
      <c r="C26" s="69">
        <f>C6-$C$25</f>
        <v>15324.68158</v>
      </c>
      <c r="D26" s="69">
        <f>C6-$D$25</f>
        <v>15322.02238</v>
      </c>
    </row>
    <row r="27" ht="15.0" customHeight="1">
      <c r="B27" s="1" t="s">
        <v>133</v>
      </c>
      <c r="C27" s="69">
        <f>(0.5*$C$15*(($C$7*(1000/3600))^2)*'Fuel Model (v2)'!$C$10*'Fuel Model (v2)'!$C$11)*($C$7*(1000/3600))</f>
        <v>121.6869213</v>
      </c>
      <c r="D27" s="69">
        <f>(0.5*$C$15*(($C$7*(1000/3600))^2)*'Fuel Model (v2)'!$C$10*'Fuel Model (v2)'!$C$11)*($C$7*(1000/3600))</f>
        <v>121.6869213</v>
      </c>
      <c r="G27" s="23" t="s">
        <v>134</v>
      </c>
    </row>
    <row r="28" ht="15.0" customHeight="1">
      <c r="B28" s="1" t="s">
        <v>135</v>
      </c>
      <c r="C28" s="69">
        <f t="shared" ref="C28:D28" si="14">0.5*(($C$9*C21))*($C$7*(1000/3600))+0.5*(0.5*(($C$9*C21))*($C$7*(1000/3600)))</f>
        <v>229.7555933</v>
      </c>
      <c r="D28" s="69">
        <f t="shared" si="14"/>
        <v>344.63339</v>
      </c>
      <c r="E28" s="72" t="s">
        <v>136</v>
      </c>
      <c r="F28" s="73" t="s">
        <v>137</v>
      </c>
      <c r="G28" s="74">
        <f>K14</f>
        <v>157.4505156</v>
      </c>
      <c r="H28" s="75">
        <f t="shared" ref="H28:H34" si="16">G28/$J$13</f>
        <v>0.3282423503</v>
      </c>
    </row>
    <row r="29" ht="15.0" customHeight="1">
      <c r="B29" s="1" t="s">
        <v>138</v>
      </c>
      <c r="C29" s="69">
        <f t="shared" ref="C29:D29" si="15">C23+(C26/($C$7*(1000/3600)))</f>
        <v>1841.51463</v>
      </c>
      <c r="D29" s="69">
        <f t="shared" si="15"/>
        <v>1842.471945</v>
      </c>
      <c r="E29" s="25" t="s">
        <v>139</v>
      </c>
      <c r="F29" s="73" t="s">
        <v>140</v>
      </c>
      <c r="G29" s="74">
        <f t="shared" ref="G29:G30" si="18">K17</f>
        <v>33.3182492</v>
      </c>
      <c r="H29" s="75">
        <f t="shared" si="16"/>
        <v>0.06945966727</v>
      </c>
    </row>
    <row r="30" ht="15.0" customHeight="1">
      <c r="B30" s="1" t="s">
        <v>141</v>
      </c>
      <c r="C30" s="69">
        <f t="shared" ref="C30:D30" si="17">(C28+C27)*C29</f>
        <v>647186.5322</v>
      </c>
      <c r="D30" s="69">
        <f t="shared" si="17"/>
        <v>859182.0908</v>
      </c>
      <c r="E30" s="25" t="s">
        <v>142</v>
      </c>
      <c r="F30" s="73" t="s">
        <v>143</v>
      </c>
      <c r="G30" s="74">
        <f t="shared" si="18"/>
        <v>137.050754</v>
      </c>
      <c r="H30" s="75">
        <f t="shared" si="16"/>
        <v>0.2857142857</v>
      </c>
    </row>
    <row r="31" ht="15.0" customHeight="1">
      <c r="B31" s="1" t="s">
        <v>144</v>
      </c>
      <c r="C31" s="69">
        <f t="shared" ref="C31:D31" si="19">C30+C22</f>
        <v>649739.3721</v>
      </c>
      <c r="D31" s="69">
        <f t="shared" si="19"/>
        <v>863011.3507</v>
      </c>
      <c r="F31" s="25" t="s">
        <v>145</v>
      </c>
      <c r="G31" s="74">
        <f>K15</f>
        <v>217.5687436</v>
      </c>
      <c r="H31" s="75">
        <f t="shared" si="16"/>
        <v>0.4535728287</v>
      </c>
    </row>
    <row r="32" ht="15.75" customHeight="1">
      <c r="F32" s="25" t="s">
        <v>146</v>
      </c>
      <c r="G32" s="74">
        <f t="shared" ref="G32:G33" si="20">K19</f>
        <v>179.888503</v>
      </c>
      <c r="H32" s="75">
        <f t="shared" si="16"/>
        <v>0.3750195722</v>
      </c>
    </row>
    <row r="33" ht="15.75" customHeight="1">
      <c r="F33" s="23" t="s">
        <v>147</v>
      </c>
      <c r="G33" s="74">
        <f t="shared" si="20"/>
        <v>339.4871312</v>
      </c>
      <c r="H33" s="75">
        <f t="shared" si="16"/>
        <v>0.7077401646</v>
      </c>
    </row>
    <row r="34" ht="15.75" customHeight="1">
      <c r="F34" s="23" t="s">
        <v>148</v>
      </c>
      <c r="G34" s="74">
        <f>K16</f>
        <v>416.7819957</v>
      </c>
      <c r="H34" s="75">
        <f t="shared" si="16"/>
        <v>0.8688793511</v>
      </c>
    </row>
    <row r="35" ht="15.75" customHeight="1"/>
    <row r="36" ht="15.75" customHeight="1">
      <c r="F36" s="25" t="s">
        <v>149</v>
      </c>
      <c r="G36" s="25" t="s">
        <v>150</v>
      </c>
      <c r="J36" s="73" t="s">
        <v>137</v>
      </c>
      <c r="K36" s="71">
        <f> G28</f>
        <v>157.4505156</v>
      </c>
    </row>
    <row r="37" ht="15.75" customHeight="1">
      <c r="E37" s="25" t="s">
        <v>145</v>
      </c>
      <c r="F37" s="74">
        <f>G28+G29</f>
        <v>190.7687648</v>
      </c>
      <c r="G37" s="74">
        <f>G31-F37</f>
        <v>26.79997877</v>
      </c>
      <c r="J37" s="73" t="s">
        <v>140</v>
      </c>
      <c r="K37" s="71">
        <f>G29</f>
        <v>33.3182492</v>
      </c>
    </row>
    <row r="38" ht="15.75" customHeight="1">
      <c r="E38" s="23" t="s">
        <v>147</v>
      </c>
      <c r="F38" s="74">
        <f>G28+G30</f>
        <v>294.5012696</v>
      </c>
      <c r="G38" s="74">
        <f>G33-F38</f>
        <v>44.9858616</v>
      </c>
      <c r="J38" s="23" t="s">
        <v>151</v>
      </c>
      <c r="K38" s="71">
        <f> G37</f>
        <v>26.79997877</v>
      </c>
    </row>
    <row r="39" ht="15.75" customHeight="1">
      <c r="E39" s="25" t="s">
        <v>146</v>
      </c>
      <c r="F39" s="74">
        <f>G29+G30</f>
        <v>170.3690032</v>
      </c>
      <c r="G39" s="74">
        <f>G32-F39</f>
        <v>9.519499772</v>
      </c>
      <c r="J39" s="73" t="s">
        <v>143</v>
      </c>
      <c r="K39" s="71">
        <f>G30</f>
        <v>137.050754</v>
      </c>
    </row>
    <row r="40" ht="15.75" customHeight="1">
      <c r="E40" s="25" t="s">
        <v>148</v>
      </c>
      <c r="F40" s="74">
        <f>G28+G29+G30</f>
        <v>327.8195188</v>
      </c>
      <c r="G40" s="74">
        <f>G34-F40</f>
        <v>88.96247693</v>
      </c>
      <c r="J40" s="23" t="s">
        <v>152</v>
      </c>
      <c r="K40" s="71">
        <f t="shared" ref="K40:K41" si="21">G38</f>
        <v>44.9858616</v>
      </c>
    </row>
    <row r="41" ht="15.75" customHeight="1">
      <c r="J41" s="23" t="s">
        <v>153</v>
      </c>
      <c r="K41" s="71">
        <f t="shared" si="21"/>
        <v>9.519499772</v>
      </c>
    </row>
    <row r="42" ht="15.75" customHeight="1">
      <c r="J42" s="25" t="s">
        <v>154</v>
      </c>
      <c r="K42" s="74">
        <f>G40-G38-G39-G37</f>
        <v>7.657136791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75"/>
    <col customWidth="1" min="4" max="5" width="16.13"/>
    <col customWidth="1" min="6" max="6" width="19.25"/>
    <col customWidth="1" min="7" max="9" width="18.5"/>
    <col customWidth="1" min="10" max="10" width="20.63"/>
    <col customWidth="1" min="12" max="12" width="21.75"/>
    <col customWidth="1" min="16" max="16" width="19.75"/>
    <col customWidth="1" min="17" max="17" width="16.75"/>
    <col customWidth="1" min="19" max="19" width="17.75"/>
  </cols>
  <sheetData>
    <row r="1">
      <c r="A1" s="11" t="s">
        <v>155</v>
      </c>
      <c r="F1" s="11" t="s">
        <v>156</v>
      </c>
      <c r="G1" s="1">
        <v>0.1</v>
      </c>
      <c r="H1" s="1"/>
      <c r="I1" s="1"/>
      <c r="J1" s="11" t="s">
        <v>157</v>
      </c>
      <c r="K1" s="1">
        <v>0.043</v>
      </c>
      <c r="O1" s="11" t="s">
        <v>158</v>
      </c>
    </row>
    <row r="2">
      <c r="A2" s="41" t="s">
        <v>159</v>
      </c>
      <c r="B2" s="41" t="s">
        <v>160</v>
      </c>
      <c r="C2" s="41" t="s">
        <v>161</v>
      </c>
      <c r="D2" s="41" t="s">
        <v>162</v>
      </c>
      <c r="E2" s="41" t="s">
        <v>163</v>
      </c>
      <c r="F2" s="41" t="s">
        <v>164</v>
      </c>
      <c r="G2" s="41" t="s">
        <v>165</v>
      </c>
      <c r="H2" s="56" t="s">
        <v>166</v>
      </c>
      <c r="I2" s="56" t="s">
        <v>167</v>
      </c>
      <c r="J2" s="41" t="s">
        <v>168</v>
      </c>
      <c r="K2" s="41" t="s">
        <v>169</v>
      </c>
      <c r="L2" s="41" t="s">
        <v>170</v>
      </c>
      <c r="M2" s="41" t="s">
        <v>171</v>
      </c>
      <c r="N2" s="41" t="s">
        <v>172</v>
      </c>
      <c r="O2" s="41" t="s">
        <v>173</v>
      </c>
      <c r="P2" s="41" t="s">
        <v>174</v>
      </c>
      <c r="Q2" s="41" t="s">
        <v>175</v>
      </c>
      <c r="R2" s="11"/>
      <c r="S2" s="11"/>
      <c r="T2" s="11"/>
      <c r="U2" s="11"/>
      <c r="V2" s="11"/>
    </row>
    <row r="3">
      <c r="A3" s="1" t="s">
        <v>64</v>
      </c>
      <c r="B3" s="1" t="s">
        <v>176</v>
      </c>
      <c r="C3" s="76">
        <v>3.38</v>
      </c>
      <c r="D3" s="76">
        <f>'Copy of Itemized Breakdown'!$J$4</f>
        <v>4.937068966</v>
      </c>
      <c r="E3" s="76">
        <f>(0.005*'Copy of Itemized Breakdown'!$E$10)+0.1*('Copy of Itemized Breakdown'!$E$9)+0.001*('Copy of Itemized Breakdown'!$E$11)</f>
        <v>5.405716667</v>
      </c>
      <c r="F3" s="76">
        <f t="shared" ref="F3:F10" si="1">SUM(C3:E3)</f>
        <v>13.72278563</v>
      </c>
      <c r="G3" s="1">
        <v>14.24</v>
      </c>
      <c r="H3" s="13"/>
      <c r="I3" s="13"/>
      <c r="J3" s="1">
        <f t="shared" ref="J3:J6" si="2">G3*0.0610237</f>
        <v>0.868977488</v>
      </c>
      <c r="K3" s="77">
        <f t="shared" ref="K3:K10" si="3">J3/F3</f>
        <v>0.06332369471</v>
      </c>
      <c r="L3" s="76">
        <f t="shared" ref="L3:L10" si="4">F3/J3</f>
        <v>15.79187703</v>
      </c>
      <c r="M3" s="1">
        <f>$K$1*J3+'Copy of Itemized Breakdown'!M4</f>
        <v>0.05697568716</v>
      </c>
      <c r="N3" s="1">
        <v>3.76</v>
      </c>
      <c r="O3" s="1">
        <v>1.0</v>
      </c>
      <c r="P3" s="1">
        <v>1.5</v>
      </c>
      <c r="Q3" s="1">
        <f t="shared" ref="Q3:Q10" si="5">O3*N3+P3</f>
        <v>5.26</v>
      </c>
    </row>
    <row r="4">
      <c r="A4" s="1" t="s">
        <v>59</v>
      </c>
      <c r="B4" s="1" t="s">
        <v>176</v>
      </c>
      <c r="C4" s="76">
        <v>3.89</v>
      </c>
      <c r="D4" s="76">
        <f>'Copy of Itemized Breakdown'!$J$5</f>
        <v>7.098979592</v>
      </c>
      <c r="E4" s="76">
        <f>(0.005*'Copy of Itemized Breakdown'!$E$10)+0.1*('Copy of Itemized Breakdown'!$E$9)+0.001*('Copy of Itemized Breakdown'!$E$11)</f>
        <v>5.405716667</v>
      </c>
      <c r="F4" s="76">
        <f t="shared" si="1"/>
        <v>16.39469626</v>
      </c>
      <c r="G4" s="1">
        <v>16.39</v>
      </c>
      <c r="H4" s="13"/>
      <c r="I4" s="13"/>
      <c r="J4" s="1">
        <f t="shared" si="2"/>
        <v>1.000178443</v>
      </c>
      <c r="K4" s="77">
        <f t="shared" si="3"/>
        <v>0.06100621977</v>
      </c>
      <c r="L4" s="76">
        <f t="shared" si="4"/>
        <v>16.39177126</v>
      </c>
      <c r="M4" s="1">
        <f>$K$1*J4+'Copy of Itemized Breakdown'!M5</f>
        <v>0.1196533873</v>
      </c>
      <c r="N4" s="1">
        <v>4.63</v>
      </c>
      <c r="O4" s="1">
        <v>1.5</v>
      </c>
      <c r="P4" s="1">
        <v>1.5</v>
      </c>
      <c r="Q4" s="1">
        <f t="shared" si="5"/>
        <v>8.445</v>
      </c>
    </row>
    <row r="5">
      <c r="A5" s="1" t="s">
        <v>58</v>
      </c>
      <c r="B5" s="1" t="s">
        <v>176</v>
      </c>
      <c r="C5" s="76">
        <v>3.64</v>
      </c>
      <c r="D5" s="76">
        <f>'Copy of Itemized Breakdown'!$J$2</f>
        <v>4.9655</v>
      </c>
      <c r="E5" s="76">
        <f>(0.005*'Copy of Itemized Breakdown'!$E$10)+0.1*('Copy of Itemized Breakdown'!$E$9)+0.001*('Copy of Itemized Breakdown'!$E$11)</f>
        <v>5.405716667</v>
      </c>
      <c r="F5" s="76">
        <f t="shared" si="1"/>
        <v>14.01121667</v>
      </c>
      <c r="G5" s="1">
        <v>15.31</v>
      </c>
      <c r="H5" s="78">
        <v>167.175</v>
      </c>
      <c r="I5" s="79">
        <f t="shared" ref="I5:I6" si="6">F5/H5</f>
        <v>0.08381167439</v>
      </c>
      <c r="J5" s="1">
        <f t="shared" si="2"/>
        <v>0.934272847</v>
      </c>
      <c r="K5" s="77">
        <f t="shared" si="3"/>
        <v>0.06668035112</v>
      </c>
      <c r="L5" s="76">
        <f t="shared" si="4"/>
        <v>14.99692163</v>
      </c>
      <c r="M5" s="1">
        <f>$K$1*J5+'Copy of Itemized Breakdown'!M2</f>
        <v>0.06737573242</v>
      </c>
      <c r="N5" s="1">
        <v>3.92</v>
      </c>
      <c r="O5" s="1">
        <v>1.0</v>
      </c>
      <c r="P5" s="1">
        <v>1.5</v>
      </c>
      <c r="Q5" s="1">
        <f t="shared" si="5"/>
        <v>5.42</v>
      </c>
    </row>
    <row r="6">
      <c r="A6" s="1" t="s">
        <v>60</v>
      </c>
      <c r="B6" s="1" t="s">
        <v>176</v>
      </c>
      <c r="C6" s="76">
        <v>4.16</v>
      </c>
      <c r="D6" s="76">
        <f>'Copy of Itemized Breakdown'!$J$3</f>
        <v>7.3335</v>
      </c>
      <c r="E6" s="76">
        <f>(0.005*'Copy of Itemized Breakdown'!$E$10)+0.1*('Copy of Itemized Breakdown'!$E$9)+0.001*('Copy of Itemized Breakdown'!$E$11)</f>
        <v>5.405716667</v>
      </c>
      <c r="F6" s="76">
        <f t="shared" si="1"/>
        <v>16.89921667</v>
      </c>
      <c r="G6" s="1">
        <v>17.51</v>
      </c>
      <c r="H6" s="78">
        <v>96.79</v>
      </c>
      <c r="I6" s="79">
        <f t="shared" si="6"/>
        <v>0.1745967214</v>
      </c>
      <c r="J6" s="1">
        <f t="shared" si="2"/>
        <v>1.068524987</v>
      </c>
      <c r="K6" s="77">
        <f t="shared" si="3"/>
        <v>0.06322926134</v>
      </c>
      <c r="L6" s="76">
        <f t="shared" si="4"/>
        <v>15.81546232</v>
      </c>
      <c r="M6" s="1">
        <f>$K$1*J6+'Copy of Itemized Breakdown'!M3</f>
        <v>0.1042285744</v>
      </c>
      <c r="N6" s="1">
        <v>4.8</v>
      </c>
      <c r="O6" s="1">
        <v>1.5</v>
      </c>
      <c r="P6" s="1">
        <v>1.5</v>
      </c>
      <c r="Q6" s="1">
        <f t="shared" si="5"/>
        <v>8.7</v>
      </c>
    </row>
    <row r="7">
      <c r="A7" s="1" t="s">
        <v>64</v>
      </c>
      <c r="B7" s="1" t="s">
        <v>177</v>
      </c>
      <c r="C7" s="76">
        <f>'Copy of Itemized Breakdown'!$L$6</f>
        <v>1.211805556</v>
      </c>
      <c r="D7" s="76">
        <f>'Copy of Itemized Breakdown'!$J$4</f>
        <v>4.937068966</v>
      </c>
      <c r="E7" s="76">
        <f>(0.005*'Copy of Itemized Breakdown'!$E$10)+0.1*('Copy of Itemized Breakdown'!$E$9)+0.001*('Copy of Itemized Breakdown'!$E$11)</f>
        <v>5.405716667</v>
      </c>
      <c r="F7" s="76">
        <f t="shared" si="1"/>
        <v>11.55459119</v>
      </c>
      <c r="H7" s="13"/>
      <c r="I7" s="13"/>
      <c r="J7" s="1">
        <f>'Copy of Itemized Breakdown'!$K$6</f>
        <v>3.590833333</v>
      </c>
      <c r="K7" s="77">
        <f t="shared" si="3"/>
        <v>0.3107711277</v>
      </c>
      <c r="L7" s="76">
        <f t="shared" si="4"/>
        <v>3.217802141</v>
      </c>
      <c r="M7" s="1">
        <f>$G$1*J7+'Copy of Itemized Breakdown'!M4</f>
        <v>0.3786929885</v>
      </c>
      <c r="N7" s="1">
        <v>2.0</v>
      </c>
      <c r="O7" s="1">
        <v>4.0</v>
      </c>
      <c r="P7" s="1">
        <v>3.0</v>
      </c>
      <c r="Q7" s="1">
        <f t="shared" si="5"/>
        <v>11</v>
      </c>
    </row>
    <row r="8">
      <c r="A8" s="1" t="s">
        <v>59</v>
      </c>
      <c r="B8" s="1" t="s">
        <v>177</v>
      </c>
      <c r="C8" s="76">
        <f>'Copy of Itemized Breakdown'!$L$6</f>
        <v>1.211805556</v>
      </c>
      <c r="D8" s="76">
        <f>'Copy of Itemized Breakdown'!$J$5</f>
        <v>7.098979592</v>
      </c>
      <c r="E8" s="76">
        <f>(0.005*'Copy of Itemized Breakdown'!$E$10)+0.1*('Copy of Itemized Breakdown'!$E$9)+0.001*('Copy of Itemized Breakdown'!$E$11)</f>
        <v>5.405716667</v>
      </c>
      <c r="F8" s="76">
        <f t="shared" si="1"/>
        <v>13.71650181</v>
      </c>
      <c r="H8" s="13">
        <v>316.75</v>
      </c>
      <c r="I8" s="80">
        <f t="shared" ref="I8:I10" si="7">F8/H8</f>
        <v>0.04330387313</v>
      </c>
      <c r="J8" s="1">
        <f>'Copy of Itemized Breakdown'!$K$6</f>
        <v>3.590833333</v>
      </c>
      <c r="K8" s="77">
        <f t="shared" si="3"/>
        <v>0.2617892945</v>
      </c>
      <c r="L8" s="76">
        <f t="shared" si="4"/>
        <v>3.819865903</v>
      </c>
      <c r="M8" s="1">
        <f>$G$1*J8+'Copy of Itemized Breakdown'!M5</f>
        <v>0.4357290476</v>
      </c>
      <c r="N8" s="1">
        <v>2.0</v>
      </c>
      <c r="O8" s="1">
        <v>3.0</v>
      </c>
      <c r="P8" s="1">
        <v>3.0</v>
      </c>
      <c r="Q8" s="1">
        <f t="shared" si="5"/>
        <v>9</v>
      </c>
    </row>
    <row r="9">
      <c r="A9" s="1" t="s">
        <v>58</v>
      </c>
      <c r="B9" s="1" t="s">
        <v>177</v>
      </c>
      <c r="C9" s="76">
        <f>'Copy of Itemized Breakdown'!$L$6</f>
        <v>1.211805556</v>
      </c>
      <c r="D9" s="76">
        <f>'Copy of Itemized Breakdown'!$J$2</f>
        <v>4.9655</v>
      </c>
      <c r="E9" s="76">
        <f>(0.005*'Copy of Itemized Breakdown'!$E$10)+0.1*('Copy of Itemized Breakdown'!$E$9)+0.001*('Copy of Itemized Breakdown'!$E$11)</f>
        <v>5.405716667</v>
      </c>
      <c r="F9" s="76">
        <f t="shared" si="1"/>
        <v>11.58302222</v>
      </c>
      <c r="H9" s="13">
        <v>420.87</v>
      </c>
      <c r="I9" s="80">
        <f t="shared" si="7"/>
        <v>0.02752161528</v>
      </c>
      <c r="J9" s="1">
        <f>'Copy of Itemized Breakdown'!$K$6</f>
        <v>3.590833333</v>
      </c>
      <c r="K9" s="77">
        <f t="shared" si="3"/>
        <v>0.3100083264</v>
      </c>
      <c r="L9" s="76">
        <f t="shared" si="4"/>
        <v>3.225719811</v>
      </c>
      <c r="M9" s="1">
        <f>$G$1*J9+'Copy of Itemized Breakdown'!M2</f>
        <v>0.3862853333</v>
      </c>
      <c r="N9" s="1">
        <v>2.0</v>
      </c>
      <c r="O9" s="1">
        <v>4.0</v>
      </c>
      <c r="P9" s="1">
        <v>3.0</v>
      </c>
      <c r="Q9" s="1">
        <f t="shared" si="5"/>
        <v>11</v>
      </c>
    </row>
    <row r="10">
      <c r="A10" s="1" t="s">
        <v>60</v>
      </c>
      <c r="B10" s="1" t="s">
        <v>177</v>
      </c>
      <c r="C10" s="76">
        <f>'Copy of Itemized Breakdown'!$L$6</f>
        <v>1.211805556</v>
      </c>
      <c r="D10" s="76">
        <f>'Copy of Itemized Breakdown'!$J$3</f>
        <v>7.3335</v>
      </c>
      <c r="E10" s="76">
        <f>(0.005*'Copy of Itemized Breakdown'!$E$10)+0.1*('Copy of Itemized Breakdown'!$E$9)+0.001*('Copy of Itemized Breakdown'!$E$11)</f>
        <v>5.405716667</v>
      </c>
      <c r="F10" s="76">
        <f t="shared" si="1"/>
        <v>13.95102222</v>
      </c>
      <c r="H10" s="13">
        <v>447.27</v>
      </c>
      <c r="I10" s="80">
        <f t="shared" si="7"/>
        <v>0.03119150004</v>
      </c>
      <c r="J10" s="1">
        <f>'Copy of Itemized Breakdown'!$K$6</f>
        <v>3.590833333</v>
      </c>
      <c r="K10" s="77">
        <f t="shared" si="3"/>
        <v>0.2573885466</v>
      </c>
      <c r="L10" s="76">
        <f t="shared" si="4"/>
        <v>3.885176762</v>
      </c>
      <c r="M10" s="1">
        <f>$G$1*J10+'Copy of Itemized Breakdown'!M3</f>
        <v>0.4173653333</v>
      </c>
      <c r="N10" s="1">
        <v>2.0</v>
      </c>
      <c r="O10" s="1">
        <v>3.0</v>
      </c>
      <c r="P10" s="1">
        <v>3.0</v>
      </c>
      <c r="Q10" s="1">
        <f t="shared" si="5"/>
        <v>9</v>
      </c>
    </row>
    <row r="11">
      <c r="G11" s="81" t="s">
        <v>178</v>
      </c>
      <c r="H11" s="82">
        <v>294.75</v>
      </c>
      <c r="I11" s="83">
        <f>F5/H11</f>
        <v>0.04753593441</v>
      </c>
    </row>
    <row r="12">
      <c r="A12" s="11" t="s">
        <v>179</v>
      </c>
      <c r="H12" s="13"/>
      <c r="I12" s="13"/>
    </row>
    <row r="13">
      <c r="A13" s="41" t="s">
        <v>159</v>
      </c>
      <c r="B13" s="41" t="s">
        <v>160</v>
      </c>
      <c r="C13" s="41" t="s">
        <v>161</v>
      </c>
      <c r="D13" s="41" t="s">
        <v>162</v>
      </c>
      <c r="E13" s="41" t="s">
        <v>163</v>
      </c>
      <c r="F13" s="41" t="s">
        <v>164</v>
      </c>
      <c r="G13" s="41" t="s">
        <v>165</v>
      </c>
      <c r="H13" s="56" t="s">
        <v>180</v>
      </c>
      <c r="I13" s="56" t="s">
        <v>167</v>
      </c>
      <c r="J13" s="41" t="s">
        <v>168</v>
      </c>
      <c r="K13" s="41" t="s">
        <v>169</v>
      </c>
      <c r="L13" s="41" t="s">
        <v>170</v>
      </c>
      <c r="M13" s="41" t="s">
        <v>171</v>
      </c>
      <c r="N13" s="41" t="s">
        <v>172</v>
      </c>
      <c r="O13" s="41" t="s">
        <v>173</v>
      </c>
      <c r="P13" s="41" t="s">
        <v>174</v>
      </c>
      <c r="Q13" s="41" t="s">
        <v>175</v>
      </c>
    </row>
    <row r="14">
      <c r="A14" s="1" t="s">
        <v>64</v>
      </c>
      <c r="B14" s="1" t="s">
        <v>176</v>
      </c>
      <c r="C14" s="76">
        <v>5.7</v>
      </c>
      <c r="D14" s="76">
        <f>'Copy of Itemized Breakdown'!$J$4</f>
        <v>4.937068966</v>
      </c>
      <c r="E14" s="76">
        <f>(0.005*'Copy of Itemized Breakdown'!$E$10)+0.1*('Copy of Itemized Breakdown'!$E$9)+0.001*('Copy of Itemized Breakdown'!$E$11)</f>
        <v>5.405716667</v>
      </c>
      <c r="F14" s="76">
        <f t="shared" ref="F14:F21" si="8">SUM(C14:E14)</f>
        <v>16.04278563</v>
      </c>
      <c r="G14" s="1">
        <v>23.99</v>
      </c>
      <c r="H14" s="13"/>
      <c r="I14" s="80" t="str">
        <f t="shared" ref="I14:I22" si="9">F14/H14</f>
        <v>#DIV/0!</v>
      </c>
      <c r="J14" s="1">
        <f t="shared" ref="J14:J17" si="10">G14*0.0610237</f>
        <v>1.463958563</v>
      </c>
      <c r="K14" s="77">
        <f t="shared" ref="K14:K21" si="11">J14/F14</f>
        <v>0.09125338932</v>
      </c>
      <c r="L14" s="76">
        <f t="shared" ref="L14:L21" si="12">F14/J14</f>
        <v>10.95849708</v>
      </c>
      <c r="M14" s="1">
        <f>$K$1*J14+'Copy of Itemized Breakdown'!M4</f>
        <v>0.08255987338</v>
      </c>
      <c r="N14" s="1">
        <v>5.85</v>
      </c>
      <c r="O14" s="1">
        <v>1.0</v>
      </c>
      <c r="P14" s="1">
        <v>1.5</v>
      </c>
      <c r="Q14" s="1">
        <f t="shared" ref="Q14:Q21" si="13">O14*N14+P14</f>
        <v>7.35</v>
      </c>
    </row>
    <row r="15">
      <c r="A15" s="1" t="s">
        <v>59</v>
      </c>
      <c r="B15" s="1" t="s">
        <v>176</v>
      </c>
      <c r="C15" s="76">
        <v>7.96</v>
      </c>
      <c r="D15" s="76">
        <f>'Copy of Itemized Breakdown'!$J$5</f>
        <v>7.098979592</v>
      </c>
      <c r="E15" s="76">
        <f>(0.005*'Copy of Itemized Breakdown'!$E$10)+0.1*('Copy of Itemized Breakdown'!$E$9)+0.001*('Copy of Itemized Breakdown'!$E$11)</f>
        <v>5.405716667</v>
      </c>
      <c r="F15" s="76">
        <f t="shared" si="8"/>
        <v>20.46469626</v>
      </c>
      <c r="G15" s="1">
        <v>33.52</v>
      </c>
      <c r="H15" s="12">
        <v>73.5</v>
      </c>
      <c r="I15" s="80">
        <f t="shared" si="9"/>
        <v>0.2784312416</v>
      </c>
      <c r="J15" s="1">
        <f t="shared" si="10"/>
        <v>2.045514424</v>
      </c>
      <c r="K15" s="77">
        <f t="shared" si="11"/>
        <v>0.09995332441</v>
      </c>
      <c r="L15" s="76">
        <f t="shared" si="12"/>
        <v>10.00466974</v>
      </c>
      <c r="M15" s="1">
        <f>$K$1*J15+'Copy of Itemized Breakdown'!M5</f>
        <v>0.1646028345</v>
      </c>
      <c r="N15" s="1">
        <v>7.85</v>
      </c>
      <c r="O15" s="1">
        <v>1.0</v>
      </c>
      <c r="P15" s="1">
        <v>1.5</v>
      </c>
      <c r="Q15" s="1">
        <f t="shared" si="13"/>
        <v>9.35</v>
      </c>
    </row>
    <row r="16">
      <c r="A16" s="1" t="s">
        <v>58</v>
      </c>
      <c r="B16" s="1" t="s">
        <v>176</v>
      </c>
      <c r="C16" s="76">
        <v>3.76</v>
      </c>
      <c r="D16" s="76">
        <f>'Copy of Itemized Breakdown'!$J$2</f>
        <v>4.9655</v>
      </c>
      <c r="E16" s="76">
        <f>(0.005*'Copy of Itemized Breakdown'!$E$10)+0.1*('Copy of Itemized Breakdown'!$E$9)+0.001*('Copy of Itemized Breakdown'!$E$11)</f>
        <v>5.405716667</v>
      </c>
      <c r="F16" s="76">
        <f t="shared" si="8"/>
        <v>14.13121667</v>
      </c>
      <c r="G16" s="1">
        <v>15.84</v>
      </c>
      <c r="H16" s="13"/>
      <c r="I16" s="80" t="str">
        <f t="shared" si="9"/>
        <v>#DIV/0!</v>
      </c>
      <c r="J16" s="1">
        <f t="shared" si="10"/>
        <v>0.966615408</v>
      </c>
      <c r="K16" s="77">
        <f t="shared" si="11"/>
        <v>0.06840284392</v>
      </c>
      <c r="L16" s="76">
        <f t="shared" si="12"/>
        <v>14.6192752</v>
      </c>
      <c r="M16" s="1">
        <f>$K$1*J16+'Copy of Itemized Breakdown'!M2</f>
        <v>0.06876646254</v>
      </c>
      <c r="N16" s="1">
        <v>5.47</v>
      </c>
      <c r="O16" s="1">
        <v>1.0</v>
      </c>
      <c r="P16" s="1">
        <v>1.5</v>
      </c>
      <c r="Q16" s="1">
        <f t="shared" si="13"/>
        <v>6.97</v>
      </c>
    </row>
    <row r="17">
      <c r="A17" s="1" t="s">
        <v>60</v>
      </c>
      <c r="B17" s="1" t="s">
        <v>176</v>
      </c>
      <c r="C17" s="76">
        <v>9.01</v>
      </c>
      <c r="D17" s="76">
        <f>'Copy of Itemized Breakdown'!$J$3</f>
        <v>7.3335</v>
      </c>
      <c r="E17" s="76">
        <f>(0.005*'Copy of Itemized Breakdown'!$E$10)+0.1*('Copy of Itemized Breakdown'!$E$9)+0.001*('Copy of Itemized Breakdown'!$E$11)</f>
        <v>5.405716667</v>
      </c>
      <c r="F17" s="76">
        <f t="shared" si="8"/>
        <v>21.74921667</v>
      </c>
      <c r="G17" s="1">
        <v>37.93</v>
      </c>
      <c r="H17" s="12">
        <v>113.25</v>
      </c>
      <c r="I17" s="80">
        <f t="shared" si="9"/>
        <v>0.1920460633</v>
      </c>
      <c r="J17" s="1">
        <f t="shared" si="10"/>
        <v>2.314628941</v>
      </c>
      <c r="K17" s="77">
        <f t="shared" si="11"/>
        <v>0.1064235543</v>
      </c>
      <c r="L17" s="76">
        <f t="shared" si="12"/>
        <v>9.396416109</v>
      </c>
      <c r="M17" s="1">
        <f>$K$1*J17+'Copy of Itemized Breakdown'!M3</f>
        <v>0.1578110445</v>
      </c>
      <c r="N17" s="1">
        <v>9.23</v>
      </c>
      <c r="O17" s="1">
        <v>1.0</v>
      </c>
      <c r="P17" s="1">
        <v>1.5</v>
      </c>
      <c r="Q17" s="1">
        <f t="shared" si="13"/>
        <v>10.73</v>
      </c>
    </row>
    <row r="18">
      <c r="A18" s="1" t="s">
        <v>64</v>
      </c>
      <c r="B18" s="1" t="s">
        <v>177</v>
      </c>
      <c r="C18" s="76">
        <f>'Copy of Itemized Breakdown'!$L$6</f>
        <v>1.211805556</v>
      </c>
      <c r="D18" s="76">
        <f>'Copy of Itemized Breakdown'!$J$4</f>
        <v>4.937068966</v>
      </c>
      <c r="E18" s="76">
        <f>(0.005*'Copy of Itemized Breakdown'!$E$10)+0.1*('Copy of Itemized Breakdown'!$E$9)+0.001*('Copy of Itemized Breakdown'!$E$11)</f>
        <v>5.405716667</v>
      </c>
      <c r="F18" s="76">
        <f t="shared" si="8"/>
        <v>11.55459119</v>
      </c>
      <c r="H18" s="13"/>
      <c r="I18" s="80" t="str">
        <f t="shared" si="9"/>
        <v>#DIV/0!</v>
      </c>
      <c r="J18" s="1">
        <f>'Copy of Itemized Breakdown'!$K$6</f>
        <v>3.590833333</v>
      </c>
      <c r="K18" s="77">
        <f t="shared" si="11"/>
        <v>0.3107711277</v>
      </c>
      <c r="L18" s="76">
        <f t="shared" si="12"/>
        <v>3.217802141</v>
      </c>
      <c r="M18" s="1">
        <f>$G$1*J18+'Copy of Itemized Breakdown'!M4</f>
        <v>0.3786929885</v>
      </c>
      <c r="N18" s="1">
        <v>2.0</v>
      </c>
      <c r="O18" s="1">
        <v>4.0</v>
      </c>
      <c r="P18" s="1">
        <v>3.0</v>
      </c>
      <c r="Q18" s="1">
        <f t="shared" si="13"/>
        <v>11</v>
      </c>
    </row>
    <row r="19">
      <c r="A19" s="1" t="s">
        <v>59</v>
      </c>
      <c r="B19" s="1" t="s">
        <v>177</v>
      </c>
      <c r="C19" s="76">
        <f>'Copy of Itemized Breakdown'!$L$6</f>
        <v>1.211805556</v>
      </c>
      <c r="D19" s="76">
        <f>'Copy of Itemized Breakdown'!$J$5</f>
        <v>7.098979592</v>
      </c>
      <c r="E19" s="76">
        <f>(0.005*'Copy of Itemized Breakdown'!$E$10)+0.1*('Copy of Itemized Breakdown'!$E$9)+0.001*('Copy of Itemized Breakdown'!$E$11)</f>
        <v>5.405716667</v>
      </c>
      <c r="F19" s="76">
        <f t="shared" si="8"/>
        <v>13.71650181</v>
      </c>
      <c r="H19" s="12">
        <v>67.5</v>
      </c>
      <c r="I19" s="80">
        <f t="shared" si="9"/>
        <v>0.2032074343</v>
      </c>
      <c r="J19" s="1">
        <f>'Copy of Itemized Breakdown'!$K$6</f>
        <v>3.590833333</v>
      </c>
      <c r="K19" s="77">
        <f t="shared" si="11"/>
        <v>0.2617892945</v>
      </c>
      <c r="L19" s="76">
        <f t="shared" si="12"/>
        <v>3.819865903</v>
      </c>
      <c r="M19" s="1">
        <f>$G$1*J19+'Copy of Itemized Breakdown'!M5</f>
        <v>0.4357290476</v>
      </c>
      <c r="N19" s="1">
        <v>2.0</v>
      </c>
      <c r="O19" s="1">
        <v>3.0</v>
      </c>
      <c r="P19" s="1">
        <v>3.0</v>
      </c>
      <c r="Q19" s="1">
        <f t="shared" si="13"/>
        <v>9</v>
      </c>
    </row>
    <row r="20">
      <c r="A20" s="1" t="s">
        <v>58</v>
      </c>
      <c r="B20" s="1" t="s">
        <v>177</v>
      </c>
      <c r="C20" s="76">
        <f>'Copy of Itemized Breakdown'!$L$6</f>
        <v>1.211805556</v>
      </c>
      <c r="D20" s="76">
        <f>'Copy of Itemized Breakdown'!$J$2</f>
        <v>4.9655</v>
      </c>
      <c r="E20" s="76">
        <f>(0.005*'Copy of Itemized Breakdown'!$E$10)+0.1*('Copy of Itemized Breakdown'!$E$9)+0.001*('Copy of Itemized Breakdown'!$E$11)</f>
        <v>5.405716667</v>
      </c>
      <c r="F20" s="76">
        <f t="shared" si="8"/>
        <v>11.58302222</v>
      </c>
      <c r="H20" s="12">
        <v>256.5</v>
      </c>
      <c r="I20" s="80">
        <f t="shared" si="9"/>
        <v>0.04515798137</v>
      </c>
      <c r="J20" s="1">
        <f>'Copy of Itemized Breakdown'!$K$6</f>
        <v>3.590833333</v>
      </c>
      <c r="K20" s="77">
        <f t="shared" si="11"/>
        <v>0.3100083264</v>
      </c>
      <c r="L20" s="76">
        <f t="shared" si="12"/>
        <v>3.225719811</v>
      </c>
      <c r="M20" s="1">
        <f>$G$1*J20+'Copy of Itemized Breakdown'!M2</f>
        <v>0.3862853333</v>
      </c>
      <c r="N20" s="1">
        <v>2.0</v>
      </c>
      <c r="O20" s="1">
        <v>4.0</v>
      </c>
      <c r="P20" s="1">
        <v>3.0</v>
      </c>
      <c r="Q20" s="1">
        <f t="shared" si="13"/>
        <v>11</v>
      </c>
    </row>
    <row r="21" ht="15.75" customHeight="1">
      <c r="A21" s="1" t="s">
        <v>60</v>
      </c>
      <c r="B21" s="1" t="s">
        <v>177</v>
      </c>
      <c r="C21" s="76">
        <f>'Copy of Itemized Breakdown'!$L$6</f>
        <v>1.211805556</v>
      </c>
      <c r="D21" s="76">
        <f>'Copy of Itemized Breakdown'!$J$3</f>
        <v>7.3335</v>
      </c>
      <c r="E21" s="76">
        <f>(0.005*'Copy of Itemized Breakdown'!$E$10)+0.1*('Copy of Itemized Breakdown'!$E$9)+0.001*('Copy of Itemized Breakdown'!$E$11)</f>
        <v>5.405716667</v>
      </c>
      <c r="F21" s="76">
        <f t="shared" si="8"/>
        <v>13.95102222</v>
      </c>
      <c r="H21" s="12">
        <v>1173.0</v>
      </c>
      <c r="I21" s="80">
        <f t="shared" si="9"/>
        <v>0.01189345458</v>
      </c>
      <c r="J21" s="1">
        <f>'Copy of Itemized Breakdown'!$K$6</f>
        <v>3.590833333</v>
      </c>
      <c r="K21" s="77">
        <f t="shared" si="11"/>
        <v>0.2573885466</v>
      </c>
      <c r="L21" s="76">
        <f t="shared" si="12"/>
        <v>3.885176762</v>
      </c>
      <c r="M21" s="1">
        <f>$G$1*J21+'Copy of Itemized Breakdown'!M3</f>
        <v>0.4173653333</v>
      </c>
      <c r="N21" s="1">
        <v>2.0</v>
      </c>
      <c r="O21" s="1">
        <v>3.0</v>
      </c>
      <c r="P21" s="1">
        <v>3.0</v>
      </c>
      <c r="Q21" s="1">
        <f t="shared" si="13"/>
        <v>9</v>
      </c>
    </row>
    <row r="22" ht="15.75" customHeight="1">
      <c r="E22" s="81" t="s">
        <v>181</v>
      </c>
      <c r="F22" s="83">
        <f>2*'Copy of Itemized Breakdown'!J3</f>
        <v>14.667</v>
      </c>
      <c r="G22" s="81"/>
      <c r="H22" s="81">
        <v>3863.0</v>
      </c>
      <c r="I22" s="83">
        <f t="shared" si="9"/>
        <v>0.00379679006</v>
      </c>
    </row>
    <row r="23" ht="15.75" customHeight="1">
      <c r="A23" s="84" t="s">
        <v>0</v>
      </c>
      <c r="B23" s="2" t="s">
        <v>1</v>
      </c>
      <c r="C23" s="2" t="s">
        <v>2</v>
      </c>
      <c r="D23" s="84" t="s">
        <v>3</v>
      </c>
      <c r="E23" s="84" t="s">
        <v>4</v>
      </c>
      <c r="F23" s="84" t="s">
        <v>5</v>
      </c>
      <c r="G23" s="2" t="s">
        <v>6</v>
      </c>
      <c r="H23" s="84" t="s">
        <v>7</v>
      </c>
      <c r="I23" s="2" t="s">
        <v>8</v>
      </c>
      <c r="J23" s="85" t="s">
        <v>9</v>
      </c>
      <c r="K23" s="86" t="s">
        <v>10</v>
      </c>
      <c r="L23" s="87" t="s">
        <v>12</v>
      </c>
      <c r="M23" s="87" t="s">
        <v>13</v>
      </c>
      <c r="N23" s="87"/>
      <c r="O23" s="87"/>
    </row>
    <row r="24" ht="15.75" customHeight="1">
      <c r="A24" s="2" t="s">
        <v>16</v>
      </c>
      <c r="B24" s="88">
        <v>260.0</v>
      </c>
      <c r="C24" s="88">
        <v>0.388289</v>
      </c>
      <c r="D24" s="88">
        <v>0.2</v>
      </c>
      <c r="E24" s="88">
        <v>0.625</v>
      </c>
      <c r="F24" s="88">
        <v>0.0941705625</v>
      </c>
      <c r="G24" s="88">
        <v>3.770981188E7</v>
      </c>
      <c r="H24" s="88">
        <v>0.008447957577</v>
      </c>
      <c r="I24" s="88">
        <v>0.5545778025</v>
      </c>
      <c r="J24" s="88">
        <v>8.873244839</v>
      </c>
      <c r="K24" s="88">
        <v>55.87324484</v>
      </c>
      <c r="L24" s="89">
        <v>0.58</v>
      </c>
      <c r="M24" s="88">
        <v>166.1232448</v>
      </c>
      <c r="N24" s="89"/>
      <c r="O24" s="88"/>
    </row>
    <row r="25" ht="15.75" customHeight="1">
      <c r="A25" s="2" t="s">
        <v>18</v>
      </c>
      <c r="B25" s="2">
        <v>193.0</v>
      </c>
      <c r="C25" s="2">
        <v>7.93</v>
      </c>
      <c r="D25" s="2">
        <v>0.125</v>
      </c>
      <c r="E25" s="2">
        <v>0.75</v>
      </c>
      <c r="F25" s="2">
        <v>0.03515625</v>
      </c>
      <c r="G25" s="2">
        <v>2.799228343E7</v>
      </c>
      <c r="H25" s="2">
        <v>0.03048459177</v>
      </c>
      <c r="I25" s="2">
        <v>5.36761875</v>
      </c>
      <c r="J25" s="2">
        <v>85.8819</v>
      </c>
      <c r="K25" s="2">
        <v>132.8819</v>
      </c>
      <c r="L25" s="2"/>
      <c r="M25" s="2"/>
      <c r="N25" s="2">
        <v>243.1319</v>
      </c>
      <c r="O25" s="2"/>
    </row>
    <row r="26" ht="15.75" customHeight="1">
      <c r="A26" s="2" t="s">
        <v>182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ht="15.75" customHeight="1">
      <c r="A27" s="11"/>
      <c r="B27" s="11"/>
      <c r="C27" s="1"/>
      <c r="D27" s="1"/>
      <c r="E27" s="1"/>
      <c r="F27" s="1"/>
      <c r="G27" s="1"/>
      <c r="H27" s="1"/>
      <c r="I27" s="2"/>
      <c r="J27" s="2"/>
      <c r="K27" s="1"/>
      <c r="L27" s="2"/>
      <c r="M27" s="1"/>
    </row>
    <row r="28" ht="15.75" customHeight="1">
      <c r="A28" s="41" t="s">
        <v>159</v>
      </c>
      <c r="B28" s="41" t="s">
        <v>160</v>
      </c>
      <c r="C28" s="1" t="s">
        <v>183</v>
      </c>
      <c r="D28" s="1" t="s">
        <v>184</v>
      </c>
      <c r="E28" s="1" t="s">
        <v>10</v>
      </c>
      <c r="F28" s="1" t="s">
        <v>185</v>
      </c>
      <c r="G28" s="1" t="s">
        <v>186</v>
      </c>
      <c r="H28" s="1" t="s">
        <v>187</v>
      </c>
      <c r="I28" s="90" t="s">
        <v>188</v>
      </c>
      <c r="J28" s="2" t="s">
        <v>189</v>
      </c>
      <c r="K28" s="1" t="s">
        <v>190</v>
      </c>
      <c r="L28" s="91" t="s">
        <v>191</v>
      </c>
      <c r="M28" s="92" t="s">
        <v>192</v>
      </c>
    </row>
    <row r="29" ht="15.75" customHeight="1">
      <c r="A29" s="1" t="s">
        <v>64</v>
      </c>
      <c r="B29" s="1" t="s">
        <v>176</v>
      </c>
      <c r="C29" s="1">
        <v>0.08255987338141378</v>
      </c>
      <c r="D29" s="1">
        <f t="shared" ref="D29:D36" si="14">(C29/6)*80*12</f>
        <v>13.20957974</v>
      </c>
      <c r="E29" s="1">
        <f t="shared" ref="E29:E36" si="15">D29+47</f>
        <v>60.20957974</v>
      </c>
      <c r="F29" s="1">
        <f t="shared" ref="F29:F36" si="16">$K$25-E29</f>
        <v>72.67232026</v>
      </c>
      <c r="G29" s="93">
        <f>F29/$N$25</f>
        <v>0.2989008035</v>
      </c>
      <c r="H29" s="1">
        <f>'Material Deflection'!$B$22+E29</f>
        <v>170.4595797</v>
      </c>
      <c r="I29" s="94">
        <f t="shared" ref="I29:I36" si="17">((F14/6)*80*12)/F29</f>
        <v>35.32081667</v>
      </c>
      <c r="J29" s="1">
        <v>76.23060891744167</v>
      </c>
      <c r="K29" s="1">
        <v>17.84435483974808</v>
      </c>
      <c r="L29" s="92">
        <f t="shared" ref="L29:L36" si="18">K29/F29</f>
        <v>0.2455454123</v>
      </c>
      <c r="M29" s="95">
        <f t="shared" ref="M29:M36" si="19">((F14/6)*80*12)/K29</f>
        <v>143.8463718</v>
      </c>
    </row>
    <row r="30" ht="15.75" customHeight="1">
      <c r="A30" s="1" t="s">
        <v>59</v>
      </c>
      <c r="B30" s="1" t="s">
        <v>176</v>
      </c>
      <c r="C30" s="1">
        <v>0.1646028345177143</v>
      </c>
      <c r="D30" s="1">
        <f t="shared" si="14"/>
        <v>26.33645352</v>
      </c>
      <c r="E30" s="1">
        <f t="shared" si="15"/>
        <v>73.33645352</v>
      </c>
      <c r="F30" s="1">
        <f t="shared" si="16"/>
        <v>59.54544648</v>
      </c>
      <c r="G30" s="93">
        <f t="shared" ref="G30:G36" si="20">F30/$K$25</f>
        <v>0.4481080303</v>
      </c>
      <c r="H30" s="1">
        <f>'Material Deflection'!$B$22+E30</f>
        <v>183.5864535</v>
      </c>
      <c r="I30" s="94">
        <f t="shared" si="17"/>
        <v>54.98911495</v>
      </c>
      <c r="J30" s="1">
        <v>72.24528334791911</v>
      </c>
      <c r="K30" s="1">
        <v>13.85902927022552</v>
      </c>
      <c r="L30" s="92">
        <f t="shared" si="18"/>
        <v>0.232747088</v>
      </c>
      <c r="M30" s="95">
        <f t="shared" si="19"/>
        <v>236.2612372</v>
      </c>
    </row>
    <row r="31" ht="15.75" customHeight="1">
      <c r="A31" s="1" t="s">
        <v>58</v>
      </c>
      <c r="B31" s="1" t="s">
        <v>176</v>
      </c>
      <c r="C31" s="1">
        <v>0.06876646254399998</v>
      </c>
      <c r="D31" s="1">
        <f t="shared" si="14"/>
        <v>11.00263401</v>
      </c>
      <c r="E31" s="1">
        <f t="shared" si="15"/>
        <v>58.00263401</v>
      </c>
      <c r="F31" s="1">
        <f t="shared" si="16"/>
        <v>74.87926599</v>
      </c>
      <c r="G31" s="93">
        <f t="shared" si="20"/>
        <v>0.5635023731</v>
      </c>
      <c r="H31" s="1">
        <f>'Material Deflection'!$B$22+E31</f>
        <v>168.252634</v>
      </c>
      <c r="I31" s="94">
        <f t="shared" si="17"/>
        <v>30.19520339</v>
      </c>
      <c r="J31" s="1">
        <v>76.94407822182245</v>
      </c>
      <c r="K31" s="1">
        <v>18.55782414412886</v>
      </c>
      <c r="L31" s="92">
        <f t="shared" si="18"/>
        <v>0.2478366194</v>
      </c>
      <c r="M31" s="95">
        <f t="shared" si="19"/>
        <v>121.8351165</v>
      </c>
    </row>
    <row r="32" ht="15.75" customHeight="1">
      <c r="A32" s="1" t="s">
        <v>60</v>
      </c>
      <c r="B32" s="1" t="s">
        <v>176</v>
      </c>
      <c r="C32" s="1">
        <v>0.157811044463</v>
      </c>
      <c r="D32" s="1">
        <f t="shared" si="14"/>
        <v>25.24976711</v>
      </c>
      <c r="E32" s="1">
        <f t="shared" si="15"/>
        <v>72.24976711</v>
      </c>
      <c r="F32" s="1">
        <f t="shared" si="16"/>
        <v>60.63213289</v>
      </c>
      <c r="G32" s="93">
        <f t="shared" si="20"/>
        <v>0.4562858665</v>
      </c>
      <c r="H32" s="1">
        <f>'Material Deflection'!$B$22+E32</f>
        <v>182.4997671</v>
      </c>
      <c r="I32" s="94">
        <f t="shared" si="17"/>
        <v>57.39324185</v>
      </c>
      <c r="J32" s="1">
        <v>72.55936110303733</v>
      </c>
      <c r="K32" s="1">
        <v>14.17310702534374</v>
      </c>
      <c r="L32" s="92">
        <f t="shared" si="18"/>
        <v>0.2337557059</v>
      </c>
      <c r="M32" s="95">
        <f t="shared" si="19"/>
        <v>245.526592</v>
      </c>
    </row>
    <row r="33" ht="15.75" customHeight="1">
      <c r="A33" s="1" t="s">
        <v>64</v>
      </c>
      <c r="B33" s="1" t="s">
        <v>177</v>
      </c>
      <c r="C33" s="1">
        <v>0.37869298850574723</v>
      </c>
      <c r="D33" s="1">
        <f t="shared" si="14"/>
        <v>60.59087816</v>
      </c>
      <c r="E33" s="1">
        <f t="shared" si="15"/>
        <v>107.5908782</v>
      </c>
      <c r="F33" s="1">
        <f t="shared" si="16"/>
        <v>25.29102184</v>
      </c>
      <c r="G33" s="93">
        <f t="shared" si="20"/>
        <v>0.1903270636</v>
      </c>
      <c r="H33" s="1">
        <f>'Material Deflection'!$B$22+E33</f>
        <v>217.8408782</v>
      </c>
      <c r="I33" s="94">
        <f t="shared" si="17"/>
        <v>73.09845374</v>
      </c>
      <c r="J33" s="1">
        <v>63.567899113383945</v>
      </c>
      <c r="K33" s="1">
        <v>5.181645035690352</v>
      </c>
      <c r="L33" s="92">
        <f t="shared" si="18"/>
        <v>0.2048808098</v>
      </c>
      <c r="M33" s="95">
        <f t="shared" si="19"/>
        <v>356.7852636</v>
      </c>
    </row>
    <row r="34" ht="15.75" customHeight="1">
      <c r="A34" s="1" t="s">
        <v>59</v>
      </c>
      <c r="B34" s="1" t="s">
        <v>177</v>
      </c>
      <c r="C34" s="1">
        <v>0.43572904761904774</v>
      </c>
      <c r="D34" s="1">
        <f t="shared" si="14"/>
        <v>69.71664762</v>
      </c>
      <c r="E34" s="1">
        <f t="shared" si="15"/>
        <v>116.7166476</v>
      </c>
      <c r="F34" s="1">
        <f t="shared" si="16"/>
        <v>16.16525238</v>
      </c>
      <c r="G34" s="93">
        <f t="shared" si="20"/>
        <v>0.1216512737</v>
      </c>
      <c r="H34" s="1">
        <f>'Material Deflection'!$B$22+E34</f>
        <v>226.9666476</v>
      </c>
      <c r="I34" s="94">
        <f t="shared" si="17"/>
        <v>135.7628225</v>
      </c>
      <c r="J34" s="1">
        <v>61.595828600188746</v>
      </c>
      <c r="K34" s="1">
        <v>3.209574522495153</v>
      </c>
      <c r="L34" s="92">
        <f t="shared" si="18"/>
        <v>0.1985477521</v>
      </c>
      <c r="M34" s="95">
        <f t="shared" si="19"/>
        <v>683.7791972</v>
      </c>
    </row>
    <row r="35" ht="15.75" customHeight="1">
      <c r="A35" s="1" t="s">
        <v>58</v>
      </c>
      <c r="B35" s="1" t="s">
        <v>177</v>
      </c>
      <c r="C35" s="1">
        <v>0.3862853333333334</v>
      </c>
      <c r="D35" s="1">
        <f t="shared" si="14"/>
        <v>61.80565333</v>
      </c>
      <c r="E35" s="1">
        <f t="shared" si="15"/>
        <v>108.8056533</v>
      </c>
      <c r="F35" s="1">
        <f t="shared" si="16"/>
        <v>24.07624667</v>
      </c>
      <c r="G35" s="93">
        <f t="shared" si="20"/>
        <v>0.1811852981</v>
      </c>
      <c r="H35" s="1">
        <f>'Material Deflection'!$B$22+E35</f>
        <v>219.0556533</v>
      </c>
      <c r="I35" s="94">
        <f t="shared" si="17"/>
        <v>76.97560094</v>
      </c>
      <c r="J35" s="1">
        <v>63.298159296122556</v>
      </c>
      <c r="K35" s="1">
        <v>4.911905218428963</v>
      </c>
      <c r="L35" s="92">
        <f t="shared" si="18"/>
        <v>0.2040145745</v>
      </c>
      <c r="M35" s="95">
        <f t="shared" si="19"/>
        <v>377.3044212</v>
      </c>
    </row>
    <row r="36" ht="15.75" customHeight="1">
      <c r="A36" s="1" t="s">
        <v>60</v>
      </c>
      <c r="B36" s="1" t="s">
        <v>177</v>
      </c>
      <c r="C36" s="1">
        <v>0.4173653333333334</v>
      </c>
      <c r="D36" s="1">
        <f t="shared" si="14"/>
        <v>66.77845333</v>
      </c>
      <c r="E36" s="1">
        <f t="shared" si="15"/>
        <v>113.7784533</v>
      </c>
      <c r="F36" s="1">
        <f t="shared" si="16"/>
        <v>19.10344667</v>
      </c>
      <c r="G36" s="93">
        <f t="shared" si="20"/>
        <v>0.1437625942</v>
      </c>
      <c r="H36" s="1">
        <f>'Material Deflection'!$B$22+E36</f>
        <v>224.0284533</v>
      </c>
      <c r="I36" s="94">
        <f t="shared" si="17"/>
        <v>116.8461165</v>
      </c>
      <c r="J36" s="1">
        <v>62.21732845983432</v>
      </c>
      <c r="K36" s="1">
        <v>3.831074382140727</v>
      </c>
      <c r="L36" s="92">
        <f t="shared" si="18"/>
        <v>0.2005436217</v>
      </c>
      <c r="M36" s="95">
        <f t="shared" si="19"/>
        <v>582.6468852</v>
      </c>
    </row>
    <row r="37" ht="15.75" customHeight="1"/>
    <row r="38" ht="15.75" customHeight="1">
      <c r="I38" s="11" t="s">
        <v>193</v>
      </c>
      <c r="J38" s="11" t="s">
        <v>194</v>
      </c>
      <c r="K38" s="11" t="s">
        <v>195</v>
      </c>
      <c r="L38" s="34" t="s">
        <v>196</v>
      </c>
      <c r="M38" s="34" t="s">
        <v>197</v>
      </c>
    </row>
    <row r="39" ht="15.75" customHeight="1">
      <c r="H39" s="1" t="s">
        <v>64</v>
      </c>
      <c r="I39" s="1" t="s">
        <v>176</v>
      </c>
      <c r="J39" s="1">
        <f t="shared" ref="J39:L39" si="21">J29*12.3606212562687</f>
        <v>942.257685</v>
      </c>
      <c r="K39" s="1">
        <f t="shared" si="21"/>
        <v>220.5673117</v>
      </c>
      <c r="L39" s="1">
        <f t="shared" si="21"/>
        <v>3.035093842</v>
      </c>
      <c r="M39" s="76">
        <f t="shared" ref="M39:M46" si="23">((F14/6)*80*12)/K39</f>
        <v>11.63747103</v>
      </c>
    </row>
    <row r="40" ht="15.75" customHeight="1">
      <c r="H40" s="1" t="s">
        <v>59</v>
      </c>
      <c r="I40" s="1" t="s">
        <v>176</v>
      </c>
      <c r="J40" s="1">
        <f t="shared" ref="J40:L40" si="22">J30*12.3606212562687</f>
        <v>892.996585</v>
      </c>
      <c r="K40" s="1">
        <f t="shared" si="22"/>
        <v>171.3062118</v>
      </c>
      <c r="L40" s="1">
        <f t="shared" si="22"/>
        <v>2.876898603</v>
      </c>
      <c r="M40" s="76">
        <f t="shared" si="23"/>
        <v>19.11402609</v>
      </c>
    </row>
    <row r="41" ht="15.75" customHeight="1">
      <c r="H41" s="1" t="s">
        <v>58</v>
      </c>
      <c r="I41" s="1" t="s">
        <v>176</v>
      </c>
      <c r="J41" s="1">
        <f t="shared" ref="J41:L41" si="24">J31*12.3606212562687</f>
        <v>951.0766088</v>
      </c>
      <c r="K41" s="1">
        <f t="shared" si="24"/>
        <v>229.3862356</v>
      </c>
      <c r="L41" s="1">
        <f t="shared" si="24"/>
        <v>3.063414585</v>
      </c>
      <c r="M41" s="76">
        <f t="shared" si="23"/>
        <v>9.856714641</v>
      </c>
    </row>
    <row r="42" ht="15.75" customHeight="1">
      <c r="H42" s="1" t="s">
        <v>60</v>
      </c>
      <c r="I42" s="1" t="s">
        <v>176</v>
      </c>
      <c r="J42" s="1">
        <f t="shared" ref="J42:L42" si="25">J32*12.3606212562687</f>
        <v>896.8787812</v>
      </c>
      <c r="K42" s="1">
        <f t="shared" si="25"/>
        <v>175.188408</v>
      </c>
      <c r="L42" s="1">
        <f t="shared" si="25"/>
        <v>2.889365748</v>
      </c>
      <c r="M42" s="76">
        <f t="shared" si="23"/>
        <v>19.86361259</v>
      </c>
    </row>
    <row r="43" ht="15.75" customHeight="1">
      <c r="H43" s="1" t="s">
        <v>64</v>
      </c>
      <c r="I43" s="1" t="s">
        <v>177</v>
      </c>
      <c r="J43" s="1">
        <f t="shared" ref="J43:L43" si="26">J33*12.3606212562687</f>
        <v>785.738725</v>
      </c>
      <c r="K43" s="1">
        <f t="shared" si="26"/>
        <v>64.04835177</v>
      </c>
      <c r="L43" s="1">
        <f t="shared" si="26"/>
        <v>2.532454093</v>
      </c>
      <c r="M43" s="76">
        <f t="shared" si="23"/>
        <v>28.86467081</v>
      </c>
    </row>
    <row r="44" ht="15.75" customHeight="1">
      <c r="H44" s="1" t="s">
        <v>59</v>
      </c>
      <c r="I44" s="1" t="s">
        <v>177</v>
      </c>
      <c r="J44" s="1">
        <f t="shared" ref="J44:L44" si="27">J34*12.3606212562687</f>
        <v>761.3627083</v>
      </c>
      <c r="K44" s="1">
        <f t="shared" si="27"/>
        <v>39.67233507</v>
      </c>
      <c r="L44" s="1">
        <f t="shared" si="27"/>
        <v>2.454173565</v>
      </c>
      <c r="M44" s="76">
        <f t="shared" si="23"/>
        <v>55.31916099</v>
      </c>
    </row>
    <row r="45" ht="15.75" customHeight="1">
      <c r="H45" s="1" t="s">
        <v>58</v>
      </c>
      <c r="I45" s="1" t="s">
        <v>177</v>
      </c>
      <c r="J45" s="1">
        <f t="shared" ref="J45:L45" si="28">J35*12.3606212562687</f>
        <v>782.4045733</v>
      </c>
      <c r="K45" s="1">
        <f t="shared" si="28"/>
        <v>60.71420005</v>
      </c>
      <c r="L45" s="1">
        <f t="shared" si="28"/>
        <v>2.521746886</v>
      </c>
      <c r="M45" s="76">
        <f t="shared" si="23"/>
        <v>30.52471339</v>
      </c>
    </row>
    <row r="46" ht="15.75" customHeight="1">
      <c r="H46" s="1" t="s">
        <v>60</v>
      </c>
      <c r="I46" s="1" t="s">
        <v>177</v>
      </c>
      <c r="J46" s="1">
        <f t="shared" ref="J46:L46" si="29">J36*12.3606212562687</f>
        <v>769.0448327</v>
      </c>
      <c r="K46" s="1">
        <f t="shared" si="29"/>
        <v>47.35445944</v>
      </c>
      <c r="L46" s="1">
        <f t="shared" si="29"/>
        <v>2.478843754</v>
      </c>
      <c r="M46" s="76">
        <f t="shared" si="23"/>
        <v>47.13734634</v>
      </c>
    </row>
    <row r="47" ht="15.75" customHeight="1"/>
    <row r="48" ht="15.75" customHeight="1">
      <c r="B48" s="96" t="s">
        <v>198</v>
      </c>
      <c r="C48" s="96" t="s">
        <v>199</v>
      </c>
      <c r="D48" s="97" t="s">
        <v>200</v>
      </c>
      <c r="E48" s="97" t="s">
        <v>201</v>
      </c>
      <c r="F48" s="96" t="s">
        <v>202</v>
      </c>
    </row>
    <row r="49" ht="15.75" customHeight="1">
      <c r="B49" s="1" t="s">
        <v>64</v>
      </c>
      <c r="C49" s="98" t="s">
        <v>203</v>
      </c>
      <c r="D49" s="99">
        <v>170.4595797410262</v>
      </c>
      <c r="E49" s="75">
        <f t="shared" ref="E49:E56" si="30">($N$25-H29)/$N$25</f>
        <v>0.2989008035</v>
      </c>
      <c r="F49" s="100">
        <v>35.32081667411003</v>
      </c>
    </row>
    <row r="50" ht="15.75" customHeight="1">
      <c r="B50" s="1" t="s">
        <v>59</v>
      </c>
      <c r="C50" s="98" t="s">
        <v>203</v>
      </c>
      <c r="D50" s="99">
        <v>183.5864535228343</v>
      </c>
      <c r="E50" s="75">
        <f t="shared" si="30"/>
        <v>0.2449100528</v>
      </c>
      <c r="F50" s="100">
        <v>54.98911495467889</v>
      </c>
    </row>
    <row r="51" ht="15.75" customHeight="1">
      <c r="B51" s="1" t="s">
        <v>58</v>
      </c>
      <c r="C51" s="98" t="s">
        <v>203</v>
      </c>
      <c r="D51" s="99">
        <v>168.25263400704</v>
      </c>
      <c r="E51" s="75">
        <f t="shared" si="30"/>
        <v>0.3079779576</v>
      </c>
      <c r="F51" s="100">
        <v>30.19520339421117</v>
      </c>
    </row>
    <row r="52" ht="15.75" customHeight="1">
      <c r="B52" s="1" t="s">
        <v>60</v>
      </c>
      <c r="C52" s="98" t="s">
        <v>203</v>
      </c>
      <c r="D52" s="99">
        <v>182.49976711408</v>
      </c>
      <c r="E52" s="75">
        <f t="shared" si="30"/>
        <v>0.2493795873</v>
      </c>
      <c r="F52" s="100">
        <v>57.393241851050945</v>
      </c>
    </row>
    <row r="53" ht="15.75" customHeight="1">
      <c r="B53" s="1" t="s">
        <v>64</v>
      </c>
      <c r="C53" s="98" t="s">
        <v>204</v>
      </c>
      <c r="D53" s="99">
        <v>217.84087816091954</v>
      </c>
      <c r="E53" s="75">
        <f t="shared" si="30"/>
        <v>0.1040218163</v>
      </c>
      <c r="F53" s="100">
        <v>73.09845374383384</v>
      </c>
    </row>
    <row r="54" ht="15.75" customHeight="1">
      <c r="B54" s="1" t="s">
        <v>59</v>
      </c>
      <c r="C54" s="98" t="s">
        <v>204</v>
      </c>
      <c r="D54" s="99">
        <v>226.96664761904765</v>
      </c>
      <c r="E54" s="75">
        <f t="shared" si="30"/>
        <v>0.066487583</v>
      </c>
      <c r="F54" s="100">
        <v>135.76282253628116</v>
      </c>
    </row>
    <row r="55" ht="15.75" customHeight="1">
      <c r="B55" s="1" t="s">
        <v>58</v>
      </c>
      <c r="C55" s="98" t="s">
        <v>204</v>
      </c>
      <c r="D55" s="99">
        <v>219.05565333333334</v>
      </c>
      <c r="E55" s="75">
        <f t="shared" si="30"/>
        <v>0.09902545354</v>
      </c>
      <c r="F55" s="100">
        <v>76.97560094038289</v>
      </c>
    </row>
    <row r="56" ht="15.75" customHeight="1">
      <c r="B56" s="1" t="s">
        <v>60</v>
      </c>
      <c r="C56" s="98" t="s">
        <v>204</v>
      </c>
      <c r="D56" s="99">
        <v>224.02845333333335</v>
      </c>
      <c r="E56" s="75">
        <f t="shared" si="30"/>
        <v>0.07857235791</v>
      </c>
      <c r="F56" s="100">
        <v>116.84611654138976</v>
      </c>
    </row>
    <row r="57" ht="15.75" customHeight="1"/>
    <row r="58" ht="15.75" customHeight="1"/>
    <row r="59" ht="15.75" customHeight="1">
      <c r="B59" s="96" t="s">
        <v>198</v>
      </c>
      <c r="C59" s="96" t="s">
        <v>199</v>
      </c>
      <c r="D59" s="96" t="s">
        <v>205</v>
      </c>
      <c r="E59" s="96" t="s">
        <v>206</v>
      </c>
      <c r="F59" s="96" t="s">
        <v>207</v>
      </c>
    </row>
    <row r="60" ht="15.75" customHeight="1">
      <c r="B60" s="1" t="s">
        <v>64</v>
      </c>
      <c r="C60" s="98" t="s">
        <v>203</v>
      </c>
      <c r="D60" s="71">
        <v>17.84435483974808</v>
      </c>
      <c r="E60" s="71">
        <v>220.56731173659136</v>
      </c>
      <c r="F60" s="100">
        <f t="shared" ref="F60:F67" si="31">M39</f>
        <v>11.63747103</v>
      </c>
    </row>
    <row r="61" ht="15.75" customHeight="1">
      <c r="B61" s="1" t="s">
        <v>59</v>
      </c>
      <c r="C61" s="98" t="s">
        <v>203</v>
      </c>
      <c r="D61" s="71">
        <v>13.85902927022552</v>
      </c>
      <c r="E61" s="71">
        <v>171.30621178879966</v>
      </c>
      <c r="F61" s="100">
        <f t="shared" si="31"/>
        <v>19.11402609</v>
      </c>
    </row>
    <row r="62" ht="15.75" customHeight="1">
      <c r="B62" s="1" t="s">
        <v>58</v>
      </c>
      <c r="C62" s="98" t="s">
        <v>203</v>
      </c>
      <c r="D62" s="71">
        <v>18.55782414412886</v>
      </c>
      <c r="E62" s="71">
        <v>229.38623558601566</v>
      </c>
      <c r="F62" s="100">
        <f t="shared" si="31"/>
        <v>9.856714641</v>
      </c>
    </row>
    <row r="63" ht="15.75" customHeight="1">
      <c r="B63" s="1" t="s">
        <v>60</v>
      </c>
      <c r="C63" s="98" t="s">
        <v>203</v>
      </c>
      <c r="D63" s="71">
        <v>14.17310702534374</v>
      </c>
      <c r="E63" s="71">
        <v>175.18840796483508</v>
      </c>
      <c r="F63" s="100">
        <f t="shared" si="31"/>
        <v>19.86361259</v>
      </c>
    </row>
    <row r="64" ht="15.75" customHeight="1">
      <c r="B64" s="1" t="s">
        <v>64</v>
      </c>
      <c r="C64" s="98" t="s">
        <v>204</v>
      </c>
      <c r="D64" s="71">
        <v>5.181645035690352</v>
      </c>
      <c r="E64" s="71">
        <v>64.04835177059336</v>
      </c>
      <c r="F64" s="100">
        <f t="shared" si="31"/>
        <v>28.86467081</v>
      </c>
    </row>
    <row r="65" ht="15.75" customHeight="1">
      <c r="B65" s="1" t="s">
        <v>59</v>
      </c>
      <c r="C65" s="98" t="s">
        <v>204</v>
      </c>
      <c r="D65" s="71">
        <v>3.209574522495153</v>
      </c>
      <c r="E65" s="71">
        <v>39.67233506633205</v>
      </c>
      <c r="F65" s="100">
        <f t="shared" si="31"/>
        <v>55.31916099</v>
      </c>
    </row>
    <row r="66" ht="15.75" customHeight="1">
      <c r="B66" s="1" t="s">
        <v>58</v>
      </c>
      <c r="C66" s="98" t="s">
        <v>204</v>
      </c>
      <c r="D66" s="71">
        <v>4.911905218428963</v>
      </c>
      <c r="E66" s="71">
        <v>60.71420005169019</v>
      </c>
      <c r="F66" s="100">
        <f t="shared" si="31"/>
        <v>30.52471339</v>
      </c>
    </row>
    <row r="67" ht="15.75" customHeight="1">
      <c r="B67" s="1" t="s">
        <v>60</v>
      </c>
      <c r="C67" s="98" t="s">
        <v>204</v>
      </c>
      <c r="D67" s="71">
        <v>3.831074382140727</v>
      </c>
      <c r="E67" s="71">
        <v>47.354459442235154</v>
      </c>
      <c r="F67" s="100">
        <f t="shared" si="31"/>
        <v>47.13734634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7.13"/>
    <col customWidth="1" min="3" max="3" width="12.63"/>
    <col customWidth="1" min="4" max="4" width="18.38"/>
    <col customWidth="1" min="5" max="5" width="17.75"/>
    <col customWidth="1" min="6" max="6" width="16.88"/>
  </cols>
  <sheetData>
    <row r="1">
      <c r="A1" s="11" t="s">
        <v>208</v>
      </c>
      <c r="B1" s="11" t="s">
        <v>209</v>
      </c>
      <c r="C1" s="101" t="s">
        <v>161</v>
      </c>
      <c r="D1" s="101" t="s">
        <v>210</v>
      </c>
      <c r="E1" s="101" t="s">
        <v>164</v>
      </c>
      <c r="F1" s="101" t="s">
        <v>211</v>
      </c>
      <c r="G1" s="1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</row>
    <row r="2">
      <c r="A2" s="1" t="s">
        <v>219</v>
      </c>
      <c r="B2" s="1" t="s">
        <v>220</v>
      </c>
      <c r="C2" s="76">
        <v>37.68</v>
      </c>
      <c r="D2" s="76">
        <f t="shared" ref="D2:D5" si="1">47.9/4</f>
        <v>11.975</v>
      </c>
      <c r="E2" s="76">
        <f t="shared" ref="E2:E13" si="2">C2+D2</f>
        <v>49.655</v>
      </c>
      <c r="F2" s="1">
        <v>19.43</v>
      </c>
      <c r="G2" s="76">
        <f t="shared" ref="G2:G7" si="3">E2/F2</f>
        <v>2.555584148</v>
      </c>
      <c r="H2" s="1">
        <f t="shared" ref="H2:H3" si="4">F2/60</f>
        <v>0.3238333333</v>
      </c>
      <c r="I2" s="1">
        <f t="shared" ref="I2:I5" si="5">H2*6</f>
        <v>1.943</v>
      </c>
      <c r="J2" s="76">
        <f t="shared" ref="J2:J5" si="6">I2*G2</f>
        <v>4.9655</v>
      </c>
      <c r="M2" s="1">
        <f t="shared" ref="M2:M5" si="7">I2*$M$12</f>
        <v>0.027202</v>
      </c>
    </row>
    <row r="3">
      <c r="A3" s="1" t="s">
        <v>221</v>
      </c>
      <c r="B3" s="1" t="s">
        <v>220</v>
      </c>
      <c r="C3" s="76">
        <v>61.36</v>
      </c>
      <c r="D3" s="76">
        <f t="shared" si="1"/>
        <v>11.975</v>
      </c>
      <c r="E3" s="76">
        <f t="shared" si="2"/>
        <v>73.335</v>
      </c>
      <c r="F3" s="1">
        <v>41.63</v>
      </c>
      <c r="G3" s="76">
        <f t="shared" si="3"/>
        <v>1.761590199</v>
      </c>
      <c r="H3" s="1">
        <f t="shared" si="4"/>
        <v>0.6938333333</v>
      </c>
      <c r="I3" s="1">
        <f t="shared" si="5"/>
        <v>4.163</v>
      </c>
      <c r="J3" s="76">
        <f t="shared" si="6"/>
        <v>7.3335</v>
      </c>
      <c r="M3" s="1">
        <f t="shared" si="7"/>
        <v>0.058282</v>
      </c>
    </row>
    <row r="4">
      <c r="A4" s="1" t="s">
        <v>222</v>
      </c>
      <c r="B4" s="1" t="s">
        <v>220</v>
      </c>
      <c r="C4" s="76">
        <v>35.75</v>
      </c>
      <c r="D4" s="76">
        <f t="shared" si="1"/>
        <v>11.975</v>
      </c>
      <c r="E4" s="76">
        <f t="shared" si="2"/>
        <v>47.725</v>
      </c>
      <c r="F4" s="1">
        <v>13.54</v>
      </c>
      <c r="G4" s="76">
        <f t="shared" si="3"/>
        <v>3.524741507</v>
      </c>
      <c r="H4" s="1">
        <f>F4/58</f>
        <v>0.2334482759</v>
      </c>
      <c r="I4" s="1">
        <f t="shared" si="5"/>
        <v>1.400689655</v>
      </c>
      <c r="J4" s="76">
        <f t="shared" si="6"/>
        <v>4.937068966</v>
      </c>
      <c r="M4" s="1">
        <f t="shared" si="7"/>
        <v>0.01960965517</v>
      </c>
    </row>
    <row r="5">
      <c r="A5" s="1" t="s">
        <v>223</v>
      </c>
      <c r="B5" s="1" t="s">
        <v>220</v>
      </c>
      <c r="C5" s="76">
        <v>46.0</v>
      </c>
      <c r="D5" s="76">
        <f t="shared" si="1"/>
        <v>11.975</v>
      </c>
      <c r="E5" s="76">
        <f t="shared" si="2"/>
        <v>57.975</v>
      </c>
      <c r="F5" s="1">
        <v>44.71</v>
      </c>
      <c r="G5" s="76">
        <f t="shared" si="3"/>
        <v>1.296689779</v>
      </c>
      <c r="H5" s="1">
        <f>F5/49</f>
        <v>0.9124489796</v>
      </c>
      <c r="I5" s="1">
        <f t="shared" si="5"/>
        <v>5.474693878</v>
      </c>
      <c r="J5" s="76">
        <f t="shared" si="6"/>
        <v>7.098979592</v>
      </c>
      <c r="M5" s="1">
        <f t="shared" si="7"/>
        <v>0.07664571429</v>
      </c>
    </row>
    <row r="6">
      <c r="A6" s="1" t="s">
        <v>224</v>
      </c>
      <c r="B6" s="1" t="s">
        <v>225</v>
      </c>
      <c r="C6" s="76">
        <v>12.28</v>
      </c>
      <c r="D6" s="76">
        <f t="shared" ref="D6:D11" si="8">13.57/6</f>
        <v>2.261666667</v>
      </c>
      <c r="E6" s="76">
        <f t="shared" si="2"/>
        <v>14.54166667</v>
      </c>
      <c r="F6" s="77">
        <v>43.09</v>
      </c>
      <c r="G6" s="76">
        <f t="shared" si="3"/>
        <v>0.3374719579</v>
      </c>
      <c r="H6" s="1">
        <f t="shared" ref="H6:H7" si="9">F6/24</f>
        <v>1.795416667</v>
      </c>
      <c r="K6" s="1">
        <f t="shared" ref="K6:K7" si="10">H6*2</f>
        <v>3.590833333</v>
      </c>
      <c r="L6" s="76">
        <f t="shared" ref="L6:L7" si="11">K6*G6</f>
        <v>1.211805556</v>
      </c>
      <c r="M6" s="1">
        <f t="shared" ref="M6:M7" si="12">K6*0.1</f>
        <v>0.3590833333</v>
      </c>
    </row>
    <row r="7">
      <c r="A7" s="1" t="s">
        <v>226</v>
      </c>
      <c r="B7" s="1" t="s">
        <v>225</v>
      </c>
      <c r="C7" s="76">
        <v>4.1</v>
      </c>
      <c r="D7" s="76">
        <f t="shared" si="8"/>
        <v>2.261666667</v>
      </c>
      <c r="E7" s="76">
        <f t="shared" si="2"/>
        <v>6.361666667</v>
      </c>
      <c r="F7" s="77">
        <v>19.69</v>
      </c>
      <c r="G7" s="76">
        <f t="shared" si="3"/>
        <v>0.3230912477</v>
      </c>
      <c r="H7" s="1">
        <f t="shared" si="9"/>
        <v>0.8204166667</v>
      </c>
      <c r="K7" s="1">
        <f t="shared" si="10"/>
        <v>1.640833333</v>
      </c>
      <c r="L7" s="76">
        <f t="shared" si="11"/>
        <v>0.5301388889</v>
      </c>
      <c r="M7" s="1">
        <f t="shared" si="12"/>
        <v>0.1640833333</v>
      </c>
    </row>
    <row r="8">
      <c r="A8" s="1" t="s">
        <v>227</v>
      </c>
      <c r="B8" s="1" t="s">
        <v>225</v>
      </c>
      <c r="C8" s="76">
        <v>47.92</v>
      </c>
      <c r="D8" s="76">
        <f t="shared" si="8"/>
        <v>2.261666667</v>
      </c>
      <c r="E8" s="76">
        <f t="shared" si="2"/>
        <v>50.18166667</v>
      </c>
      <c r="F8" s="77"/>
    </row>
    <row r="9">
      <c r="A9" s="1" t="s">
        <v>228</v>
      </c>
      <c r="B9" s="1" t="s">
        <v>225</v>
      </c>
      <c r="C9" s="76">
        <v>49.28</v>
      </c>
      <c r="D9" s="76">
        <f t="shared" si="8"/>
        <v>2.261666667</v>
      </c>
      <c r="E9" s="76">
        <f t="shared" si="2"/>
        <v>51.54166667</v>
      </c>
      <c r="F9" s="77"/>
    </row>
    <row r="10">
      <c r="A10" s="1" t="s">
        <v>229</v>
      </c>
      <c r="B10" s="1" t="s">
        <v>225</v>
      </c>
      <c r="C10" s="76">
        <v>20.55</v>
      </c>
      <c r="D10" s="76">
        <f t="shared" si="8"/>
        <v>2.261666667</v>
      </c>
      <c r="E10" s="76">
        <f t="shared" si="2"/>
        <v>22.81166667</v>
      </c>
      <c r="F10" s="77"/>
    </row>
    <row r="11">
      <c r="A11" s="1" t="s">
        <v>230</v>
      </c>
      <c r="B11" s="1" t="s">
        <v>225</v>
      </c>
      <c r="C11" s="80">
        <v>135.23</v>
      </c>
      <c r="D11" s="76">
        <f t="shared" si="8"/>
        <v>2.261666667</v>
      </c>
      <c r="E11" s="76">
        <f t="shared" si="2"/>
        <v>137.4916667</v>
      </c>
      <c r="F11" s="77"/>
      <c r="L11" s="1" t="s">
        <v>231</v>
      </c>
      <c r="M11" s="1">
        <v>0.015</v>
      </c>
    </row>
    <row r="12">
      <c r="A12" s="1" t="s">
        <v>230</v>
      </c>
      <c r="B12" s="1" t="s">
        <v>232</v>
      </c>
      <c r="C12" s="76">
        <v>18.59</v>
      </c>
      <c r="D12" s="76">
        <v>1.01</v>
      </c>
      <c r="E12" s="76">
        <f t="shared" si="2"/>
        <v>19.6</v>
      </c>
      <c r="F12" s="77"/>
      <c r="L12" s="1" t="s">
        <v>233</v>
      </c>
      <c r="M12" s="1">
        <v>0.014</v>
      </c>
    </row>
    <row r="13">
      <c r="A13" s="1" t="s">
        <v>234</v>
      </c>
      <c r="B13" s="1" t="s">
        <v>232</v>
      </c>
      <c r="C13" s="76">
        <v>21.79</v>
      </c>
      <c r="D13" s="76">
        <v>1.01</v>
      </c>
      <c r="E13" s="76">
        <f t="shared" si="2"/>
        <v>22.8</v>
      </c>
      <c r="F13" s="77"/>
    </row>
    <row r="14">
      <c r="C14" s="76"/>
      <c r="D14" s="76"/>
      <c r="E14" s="76"/>
      <c r="F14" s="76"/>
    </row>
    <row r="15">
      <c r="C15" s="76"/>
      <c r="D15" s="76"/>
      <c r="E15" s="76"/>
      <c r="F15" s="76"/>
    </row>
    <row r="16">
      <c r="C16" s="76"/>
      <c r="D16" s="76"/>
      <c r="E16" s="76"/>
      <c r="F16" s="76"/>
    </row>
    <row r="17">
      <c r="C17" s="76"/>
      <c r="D17" s="76"/>
      <c r="E17" s="76"/>
      <c r="F17" s="76"/>
    </row>
    <row r="18">
      <c r="C18" s="76"/>
      <c r="D18" s="76"/>
      <c r="E18" s="76"/>
      <c r="F18" s="76"/>
    </row>
    <row r="19">
      <c r="C19" s="76"/>
      <c r="D19" s="76"/>
      <c r="E19" s="76"/>
      <c r="F19" s="76"/>
    </row>
    <row r="20">
      <c r="C20" s="76"/>
      <c r="D20" s="76"/>
      <c r="E20" s="76"/>
      <c r="F20" s="76"/>
    </row>
    <row r="21" ht="15.75" customHeight="1">
      <c r="C21" s="76"/>
      <c r="D21" s="76"/>
      <c r="E21" s="76"/>
      <c r="F21" s="76"/>
    </row>
    <row r="22" ht="15.75" customHeight="1">
      <c r="C22" s="76"/>
      <c r="D22" s="76"/>
      <c r="E22" s="76"/>
      <c r="F22" s="76"/>
    </row>
    <row r="23" ht="15.75" customHeight="1">
      <c r="C23" s="76"/>
      <c r="D23" s="76"/>
      <c r="E23" s="76"/>
      <c r="F23" s="76"/>
    </row>
    <row r="24" ht="15.75" customHeight="1">
      <c r="C24" s="76"/>
      <c r="D24" s="76"/>
      <c r="E24" s="76"/>
      <c r="F24" s="76"/>
    </row>
    <row r="25" ht="15.75" customHeight="1">
      <c r="C25" s="76"/>
      <c r="D25" s="76"/>
      <c r="E25" s="76"/>
      <c r="F25" s="76"/>
    </row>
    <row r="26" ht="15.75" customHeight="1">
      <c r="C26" s="76"/>
      <c r="D26" s="76"/>
      <c r="E26" s="76"/>
      <c r="F26" s="76"/>
    </row>
    <row r="27" ht="15.75" customHeight="1">
      <c r="C27" s="76"/>
      <c r="D27" s="76"/>
      <c r="E27" s="76"/>
      <c r="F27" s="76"/>
    </row>
    <row r="28" ht="15.75" customHeight="1">
      <c r="C28" s="76"/>
      <c r="D28" s="76"/>
      <c r="E28" s="76"/>
      <c r="F28" s="76"/>
    </row>
    <row r="29" ht="15.75" customHeight="1">
      <c r="C29" s="76"/>
      <c r="D29" s="76"/>
      <c r="E29" s="76"/>
      <c r="F29" s="76"/>
    </row>
    <row r="30" ht="15.75" customHeight="1">
      <c r="C30" s="76"/>
      <c r="D30" s="76"/>
      <c r="E30" s="76"/>
      <c r="F30" s="76"/>
    </row>
    <row r="31" ht="15.75" customHeight="1">
      <c r="C31" s="76"/>
      <c r="D31" s="76"/>
      <c r="E31" s="76"/>
      <c r="F31" s="76"/>
    </row>
    <row r="32" ht="15.75" customHeight="1">
      <c r="C32" s="76"/>
      <c r="D32" s="76"/>
      <c r="E32" s="76"/>
      <c r="F32" s="76"/>
    </row>
    <row r="33" ht="15.75" customHeight="1">
      <c r="C33" s="76"/>
      <c r="D33" s="76"/>
      <c r="E33" s="76"/>
      <c r="F33" s="76"/>
    </row>
    <row r="34" ht="15.75" customHeight="1">
      <c r="C34" s="76"/>
      <c r="D34" s="76"/>
      <c r="E34" s="76"/>
      <c r="F34" s="76"/>
    </row>
    <row r="35" ht="15.75" customHeight="1">
      <c r="C35" s="76"/>
      <c r="D35" s="76"/>
      <c r="E35" s="76"/>
      <c r="F35" s="76"/>
    </row>
    <row r="36" ht="15.75" customHeight="1">
      <c r="C36" s="76"/>
      <c r="D36" s="76"/>
      <c r="E36" s="76"/>
      <c r="F36" s="76"/>
    </row>
    <row r="37" ht="15.75" customHeight="1">
      <c r="C37" s="76"/>
      <c r="D37" s="76"/>
      <c r="E37" s="76"/>
      <c r="F37" s="76"/>
    </row>
    <row r="38" ht="15.75" customHeight="1">
      <c r="C38" s="76"/>
      <c r="D38" s="76"/>
      <c r="E38" s="76"/>
      <c r="F38" s="76"/>
    </row>
    <row r="39" ht="15.75" customHeight="1">
      <c r="C39" s="76"/>
      <c r="D39" s="76"/>
      <c r="E39" s="76"/>
      <c r="F39" s="76"/>
    </row>
    <row r="40" ht="15.75" customHeight="1">
      <c r="C40" s="76"/>
      <c r="D40" s="76"/>
      <c r="E40" s="76"/>
      <c r="F40" s="76"/>
    </row>
    <row r="41" ht="15.75" customHeight="1">
      <c r="C41" s="76"/>
      <c r="D41" s="76"/>
      <c r="E41" s="76"/>
      <c r="F41" s="76"/>
    </row>
    <row r="42" ht="15.75" customHeight="1">
      <c r="C42" s="76"/>
      <c r="D42" s="76"/>
      <c r="E42" s="76"/>
      <c r="F42" s="76"/>
    </row>
    <row r="43" ht="15.75" customHeight="1">
      <c r="C43" s="76"/>
      <c r="D43" s="76"/>
      <c r="E43" s="76"/>
      <c r="F43" s="76"/>
    </row>
    <row r="44" ht="15.75" customHeight="1">
      <c r="C44" s="76"/>
      <c r="D44" s="76"/>
      <c r="E44" s="76"/>
      <c r="F44" s="76"/>
    </row>
    <row r="45" ht="15.75" customHeight="1">
      <c r="C45" s="76"/>
      <c r="D45" s="76"/>
      <c r="E45" s="76"/>
      <c r="F45" s="76"/>
    </row>
    <row r="46" ht="15.75" customHeight="1">
      <c r="C46" s="76"/>
      <c r="D46" s="76"/>
      <c r="E46" s="76"/>
      <c r="F46" s="76"/>
    </row>
    <row r="47" ht="15.75" customHeight="1">
      <c r="C47" s="76"/>
      <c r="D47" s="76"/>
      <c r="E47" s="76"/>
      <c r="F47" s="76"/>
    </row>
    <row r="48" ht="15.75" customHeight="1">
      <c r="C48" s="76"/>
      <c r="D48" s="76"/>
      <c r="E48" s="76"/>
      <c r="F48" s="76"/>
    </row>
    <row r="49" ht="15.75" customHeight="1">
      <c r="C49" s="76"/>
      <c r="D49" s="76"/>
      <c r="E49" s="76"/>
      <c r="F49" s="76"/>
    </row>
    <row r="50" ht="15.75" customHeight="1">
      <c r="C50" s="76"/>
      <c r="D50" s="76"/>
      <c r="E50" s="76"/>
      <c r="F50" s="76"/>
    </row>
    <row r="51" ht="15.75" customHeight="1">
      <c r="C51" s="76"/>
      <c r="D51" s="76"/>
      <c r="E51" s="76"/>
      <c r="F51" s="76"/>
    </row>
    <row r="52" ht="15.75" customHeight="1">
      <c r="C52" s="76"/>
      <c r="D52" s="76"/>
      <c r="E52" s="76"/>
      <c r="F52" s="76"/>
    </row>
    <row r="53" ht="15.75" customHeight="1">
      <c r="C53" s="76"/>
      <c r="D53" s="76"/>
      <c r="E53" s="76"/>
      <c r="F53" s="76"/>
    </row>
    <row r="54" ht="15.75" customHeight="1">
      <c r="C54" s="76"/>
      <c r="D54" s="76"/>
      <c r="E54" s="76"/>
      <c r="F54" s="76"/>
    </row>
    <row r="55" ht="15.75" customHeight="1">
      <c r="C55" s="76"/>
      <c r="D55" s="76"/>
      <c r="E55" s="76"/>
      <c r="F55" s="76"/>
    </row>
    <row r="56" ht="15.75" customHeight="1">
      <c r="C56" s="76"/>
      <c r="D56" s="76"/>
      <c r="E56" s="76"/>
      <c r="F56" s="76"/>
    </row>
    <row r="57" ht="15.75" customHeight="1">
      <c r="C57" s="76"/>
      <c r="D57" s="76"/>
      <c r="E57" s="76"/>
      <c r="F57" s="76"/>
    </row>
    <row r="58" ht="15.75" customHeight="1">
      <c r="C58" s="76"/>
      <c r="D58" s="76"/>
      <c r="E58" s="76"/>
      <c r="F58" s="76"/>
    </row>
    <row r="59" ht="15.75" customHeight="1">
      <c r="C59" s="76"/>
      <c r="D59" s="76"/>
      <c r="E59" s="76"/>
      <c r="F59" s="76"/>
    </row>
    <row r="60" ht="15.75" customHeight="1">
      <c r="C60" s="76"/>
      <c r="D60" s="76"/>
      <c r="E60" s="76"/>
      <c r="F60" s="76"/>
    </row>
    <row r="61" ht="15.75" customHeight="1">
      <c r="C61" s="76"/>
      <c r="D61" s="76"/>
      <c r="E61" s="76"/>
      <c r="F61" s="76"/>
    </row>
    <row r="62" ht="15.75" customHeight="1">
      <c r="C62" s="76"/>
      <c r="D62" s="76"/>
      <c r="E62" s="76"/>
      <c r="F62" s="76"/>
    </row>
    <row r="63" ht="15.75" customHeight="1">
      <c r="C63" s="76"/>
      <c r="D63" s="76"/>
      <c r="E63" s="76"/>
      <c r="F63" s="76"/>
    </row>
    <row r="64" ht="15.75" customHeight="1">
      <c r="C64" s="76"/>
      <c r="D64" s="76"/>
      <c r="E64" s="76"/>
      <c r="F64" s="76"/>
    </row>
    <row r="65" ht="15.75" customHeight="1">
      <c r="C65" s="76"/>
      <c r="D65" s="76"/>
      <c r="E65" s="76"/>
      <c r="F65" s="76"/>
    </row>
    <row r="66" ht="15.75" customHeight="1">
      <c r="C66" s="76"/>
      <c r="D66" s="76"/>
      <c r="E66" s="76"/>
      <c r="F66" s="76"/>
    </row>
    <row r="67" ht="15.75" customHeight="1">
      <c r="C67" s="76"/>
      <c r="D67" s="76"/>
      <c r="E67" s="76"/>
      <c r="F67" s="76"/>
    </row>
    <row r="68" ht="15.75" customHeight="1">
      <c r="C68" s="76"/>
      <c r="D68" s="76"/>
      <c r="E68" s="76"/>
      <c r="F68" s="76"/>
    </row>
    <row r="69" ht="15.75" customHeight="1">
      <c r="C69" s="76"/>
      <c r="D69" s="76"/>
      <c r="E69" s="76"/>
      <c r="F69" s="76"/>
    </row>
    <row r="70" ht="15.75" customHeight="1">
      <c r="C70" s="76"/>
      <c r="D70" s="76"/>
      <c r="E70" s="76"/>
      <c r="F70" s="76"/>
    </row>
    <row r="71" ht="15.75" customHeight="1">
      <c r="C71" s="76"/>
      <c r="D71" s="76"/>
      <c r="E71" s="76"/>
      <c r="F71" s="76"/>
    </row>
    <row r="72" ht="15.75" customHeight="1">
      <c r="C72" s="76"/>
      <c r="D72" s="76"/>
      <c r="E72" s="76"/>
      <c r="F72" s="76"/>
    </row>
    <row r="73" ht="15.75" customHeight="1">
      <c r="C73" s="76"/>
      <c r="D73" s="76"/>
      <c r="E73" s="76"/>
      <c r="F73" s="76"/>
    </row>
    <row r="74" ht="15.75" customHeight="1">
      <c r="C74" s="76"/>
      <c r="D74" s="76"/>
      <c r="E74" s="76"/>
      <c r="F74" s="76"/>
    </row>
    <row r="75" ht="15.75" customHeight="1">
      <c r="C75" s="76"/>
      <c r="D75" s="76"/>
      <c r="E75" s="76"/>
      <c r="F75" s="76"/>
    </row>
    <row r="76" ht="15.75" customHeight="1">
      <c r="C76" s="76"/>
      <c r="D76" s="76"/>
      <c r="E76" s="76"/>
      <c r="F76" s="76"/>
    </row>
    <row r="77" ht="15.75" customHeight="1">
      <c r="C77" s="76"/>
      <c r="D77" s="76"/>
      <c r="E77" s="76"/>
      <c r="F77" s="76"/>
    </row>
    <row r="78" ht="15.75" customHeight="1">
      <c r="C78" s="76"/>
      <c r="D78" s="76"/>
      <c r="E78" s="76"/>
      <c r="F78" s="76"/>
    </row>
    <row r="79" ht="15.75" customHeight="1">
      <c r="C79" s="76"/>
      <c r="D79" s="76"/>
      <c r="E79" s="76"/>
      <c r="F79" s="76"/>
    </row>
    <row r="80" ht="15.75" customHeight="1">
      <c r="C80" s="76"/>
      <c r="D80" s="76"/>
      <c r="E80" s="76"/>
      <c r="F80" s="76"/>
    </row>
    <row r="81" ht="15.75" customHeight="1">
      <c r="C81" s="76"/>
      <c r="D81" s="76"/>
      <c r="E81" s="76"/>
      <c r="F81" s="76"/>
    </row>
    <row r="82" ht="15.75" customHeight="1">
      <c r="C82" s="76"/>
      <c r="D82" s="76"/>
      <c r="E82" s="76"/>
      <c r="F82" s="76"/>
    </row>
    <row r="83" ht="15.75" customHeight="1">
      <c r="C83" s="76"/>
      <c r="D83" s="76"/>
      <c r="E83" s="76"/>
      <c r="F83" s="76"/>
    </row>
    <row r="84" ht="15.75" customHeight="1">
      <c r="C84" s="76"/>
      <c r="D84" s="76"/>
      <c r="E84" s="76"/>
      <c r="F84" s="76"/>
    </row>
    <row r="85" ht="15.75" customHeight="1">
      <c r="C85" s="76"/>
      <c r="D85" s="76"/>
      <c r="E85" s="76"/>
      <c r="F85" s="76"/>
    </row>
    <row r="86" ht="15.75" customHeight="1">
      <c r="C86" s="76"/>
      <c r="D86" s="76"/>
      <c r="E86" s="76"/>
      <c r="F86" s="76"/>
    </row>
    <row r="87" ht="15.75" customHeight="1">
      <c r="C87" s="76"/>
      <c r="D87" s="76"/>
      <c r="E87" s="76"/>
      <c r="F87" s="76"/>
    </row>
    <row r="88" ht="15.75" customHeight="1">
      <c r="C88" s="76"/>
      <c r="D88" s="76"/>
      <c r="E88" s="76"/>
      <c r="F88" s="76"/>
    </row>
    <row r="89" ht="15.75" customHeight="1">
      <c r="C89" s="76"/>
      <c r="D89" s="76"/>
      <c r="E89" s="76"/>
      <c r="F89" s="76"/>
    </row>
    <row r="90" ht="15.75" customHeight="1">
      <c r="C90" s="76"/>
      <c r="D90" s="76"/>
      <c r="E90" s="76"/>
      <c r="F90" s="76"/>
    </row>
    <row r="91" ht="15.75" customHeight="1">
      <c r="C91" s="76"/>
      <c r="D91" s="76"/>
      <c r="E91" s="76"/>
      <c r="F91" s="76"/>
    </row>
    <row r="92" ht="15.75" customHeight="1">
      <c r="C92" s="76"/>
      <c r="D92" s="76"/>
      <c r="E92" s="76"/>
      <c r="F92" s="76"/>
    </row>
    <row r="93" ht="15.75" customHeight="1">
      <c r="C93" s="76"/>
      <c r="D93" s="76"/>
      <c r="E93" s="76"/>
      <c r="F93" s="76"/>
    </row>
    <row r="94" ht="15.75" customHeight="1">
      <c r="C94" s="76"/>
      <c r="D94" s="76"/>
      <c r="E94" s="76"/>
      <c r="F94" s="76"/>
    </row>
    <row r="95" ht="15.75" customHeight="1">
      <c r="C95" s="76"/>
      <c r="D95" s="76"/>
      <c r="E95" s="76"/>
      <c r="F95" s="76"/>
    </row>
    <row r="96" ht="15.75" customHeight="1">
      <c r="C96" s="76"/>
      <c r="D96" s="76"/>
      <c r="E96" s="76"/>
      <c r="F96" s="76"/>
    </row>
    <row r="97" ht="15.75" customHeight="1">
      <c r="C97" s="76"/>
      <c r="D97" s="76"/>
      <c r="E97" s="76"/>
      <c r="F97" s="76"/>
    </row>
    <row r="98" ht="15.75" customHeight="1">
      <c r="C98" s="76"/>
      <c r="D98" s="76"/>
      <c r="E98" s="76"/>
      <c r="F98" s="76"/>
    </row>
    <row r="99" ht="15.75" customHeight="1">
      <c r="C99" s="76"/>
      <c r="D99" s="76"/>
      <c r="E99" s="76"/>
      <c r="F99" s="76"/>
    </row>
    <row r="100" ht="15.75" customHeight="1">
      <c r="C100" s="76"/>
      <c r="D100" s="76"/>
      <c r="E100" s="76"/>
      <c r="F100" s="76"/>
    </row>
    <row r="101" ht="15.75" customHeight="1">
      <c r="C101" s="76"/>
      <c r="D101" s="76"/>
      <c r="E101" s="76"/>
      <c r="F101" s="76"/>
    </row>
    <row r="102" ht="15.75" customHeight="1">
      <c r="C102" s="76"/>
      <c r="D102" s="76"/>
      <c r="E102" s="76"/>
      <c r="F102" s="76"/>
    </row>
    <row r="103" ht="15.75" customHeight="1">
      <c r="C103" s="76"/>
      <c r="D103" s="76"/>
      <c r="E103" s="76"/>
      <c r="F103" s="76"/>
    </row>
    <row r="104" ht="15.75" customHeight="1">
      <c r="C104" s="76"/>
      <c r="D104" s="76"/>
      <c r="E104" s="76"/>
      <c r="F104" s="76"/>
    </row>
    <row r="105" ht="15.75" customHeight="1">
      <c r="C105" s="76"/>
      <c r="D105" s="76"/>
      <c r="E105" s="76"/>
      <c r="F105" s="76"/>
    </row>
    <row r="106" ht="15.75" customHeight="1">
      <c r="C106" s="76"/>
      <c r="D106" s="76"/>
      <c r="E106" s="76"/>
      <c r="F106" s="76"/>
    </row>
    <row r="107" ht="15.75" customHeight="1">
      <c r="C107" s="76"/>
      <c r="D107" s="76"/>
      <c r="E107" s="76"/>
      <c r="F107" s="76"/>
    </row>
    <row r="108" ht="15.75" customHeight="1">
      <c r="C108" s="76"/>
      <c r="D108" s="76"/>
      <c r="E108" s="76"/>
      <c r="F108" s="76"/>
    </row>
    <row r="109" ht="15.75" customHeight="1">
      <c r="C109" s="76"/>
      <c r="D109" s="76"/>
      <c r="E109" s="76"/>
      <c r="F109" s="76"/>
    </row>
    <row r="110" ht="15.75" customHeight="1">
      <c r="C110" s="76"/>
      <c r="D110" s="76"/>
      <c r="E110" s="76"/>
      <c r="F110" s="76"/>
    </row>
    <row r="111" ht="15.75" customHeight="1">
      <c r="C111" s="76"/>
      <c r="D111" s="76"/>
      <c r="E111" s="76"/>
      <c r="F111" s="76"/>
    </row>
    <row r="112" ht="15.75" customHeight="1">
      <c r="C112" s="76"/>
      <c r="D112" s="76"/>
      <c r="E112" s="76"/>
      <c r="F112" s="76"/>
    </row>
    <row r="113" ht="15.75" customHeight="1">
      <c r="C113" s="76"/>
      <c r="D113" s="76"/>
      <c r="E113" s="76"/>
      <c r="F113" s="76"/>
    </row>
    <row r="114" ht="15.75" customHeight="1">
      <c r="C114" s="76"/>
      <c r="D114" s="76"/>
      <c r="E114" s="76"/>
      <c r="F114" s="76"/>
    </row>
    <row r="115" ht="15.75" customHeight="1">
      <c r="C115" s="76"/>
      <c r="D115" s="76"/>
      <c r="E115" s="76"/>
      <c r="F115" s="76"/>
    </row>
    <row r="116" ht="15.75" customHeight="1">
      <c r="C116" s="76"/>
      <c r="D116" s="76"/>
      <c r="E116" s="76"/>
      <c r="F116" s="76"/>
    </row>
    <row r="117" ht="15.75" customHeight="1">
      <c r="C117" s="76"/>
      <c r="D117" s="76"/>
      <c r="E117" s="76"/>
      <c r="F117" s="76"/>
    </row>
    <row r="118" ht="15.75" customHeight="1">
      <c r="C118" s="76"/>
      <c r="D118" s="76"/>
      <c r="E118" s="76"/>
      <c r="F118" s="76"/>
    </row>
    <row r="119" ht="15.75" customHeight="1">
      <c r="C119" s="76"/>
      <c r="D119" s="76"/>
      <c r="E119" s="76"/>
      <c r="F119" s="76"/>
    </row>
    <row r="120" ht="15.75" customHeight="1">
      <c r="C120" s="76"/>
      <c r="D120" s="76"/>
      <c r="E120" s="76"/>
      <c r="F120" s="76"/>
    </row>
    <row r="121" ht="15.75" customHeight="1">
      <c r="C121" s="76"/>
      <c r="D121" s="76"/>
      <c r="E121" s="76"/>
      <c r="F121" s="76"/>
    </row>
    <row r="122" ht="15.75" customHeight="1">
      <c r="C122" s="76"/>
      <c r="D122" s="76"/>
      <c r="E122" s="76"/>
      <c r="F122" s="76"/>
    </row>
    <row r="123" ht="15.75" customHeight="1">
      <c r="C123" s="76"/>
      <c r="D123" s="76"/>
      <c r="E123" s="76"/>
      <c r="F123" s="76"/>
    </row>
    <row r="124" ht="15.75" customHeight="1">
      <c r="C124" s="76"/>
      <c r="D124" s="76"/>
      <c r="E124" s="76"/>
      <c r="F124" s="76"/>
    </row>
    <row r="125" ht="15.75" customHeight="1">
      <c r="C125" s="76"/>
      <c r="D125" s="76"/>
      <c r="E125" s="76"/>
      <c r="F125" s="76"/>
    </row>
    <row r="126" ht="15.75" customHeight="1">
      <c r="C126" s="76"/>
      <c r="D126" s="76"/>
      <c r="E126" s="76"/>
      <c r="F126" s="76"/>
    </row>
    <row r="127" ht="15.75" customHeight="1">
      <c r="C127" s="76"/>
      <c r="D127" s="76"/>
      <c r="E127" s="76"/>
      <c r="F127" s="76"/>
    </row>
    <row r="128" ht="15.75" customHeight="1">
      <c r="C128" s="76"/>
      <c r="D128" s="76"/>
      <c r="E128" s="76"/>
      <c r="F128" s="76"/>
    </row>
    <row r="129" ht="15.75" customHeight="1">
      <c r="C129" s="76"/>
      <c r="D129" s="76"/>
      <c r="E129" s="76"/>
      <c r="F129" s="76"/>
    </row>
    <row r="130" ht="15.75" customHeight="1">
      <c r="C130" s="76"/>
      <c r="D130" s="76"/>
      <c r="E130" s="76"/>
      <c r="F130" s="76"/>
    </row>
    <row r="131" ht="15.75" customHeight="1">
      <c r="C131" s="76"/>
      <c r="D131" s="76"/>
      <c r="E131" s="76"/>
      <c r="F131" s="76"/>
    </row>
    <row r="132" ht="15.75" customHeight="1">
      <c r="C132" s="76"/>
      <c r="D132" s="76"/>
      <c r="E132" s="76"/>
      <c r="F132" s="76"/>
    </row>
    <row r="133" ht="15.75" customHeight="1">
      <c r="C133" s="76"/>
      <c r="D133" s="76"/>
      <c r="E133" s="76"/>
      <c r="F133" s="76"/>
    </row>
    <row r="134" ht="15.75" customHeight="1">
      <c r="C134" s="76"/>
      <c r="D134" s="76"/>
      <c r="E134" s="76"/>
      <c r="F134" s="76"/>
    </row>
    <row r="135" ht="15.75" customHeight="1">
      <c r="C135" s="76"/>
      <c r="D135" s="76"/>
      <c r="E135" s="76"/>
      <c r="F135" s="76"/>
    </row>
    <row r="136" ht="15.75" customHeight="1">
      <c r="C136" s="76"/>
      <c r="D136" s="76"/>
      <c r="E136" s="76"/>
      <c r="F136" s="76"/>
    </row>
    <row r="137" ht="15.75" customHeight="1">
      <c r="C137" s="76"/>
      <c r="D137" s="76"/>
      <c r="E137" s="76"/>
      <c r="F137" s="76"/>
    </row>
    <row r="138" ht="15.75" customHeight="1">
      <c r="C138" s="76"/>
      <c r="D138" s="76"/>
      <c r="E138" s="76"/>
      <c r="F138" s="76"/>
    </row>
    <row r="139" ht="15.75" customHeight="1">
      <c r="C139" s="76"/>
      <c r="D139" s="76"/>
      <c r="E139" s="76"/>
      <c r="F139" s="76"/>
    </row>
    <row r="140" ht="15.75" customHeight="1">
      <c r="C140" s="76"/>
      <c r="D140" s="76"/>
      <c r="E140" s="76"/>
      <c r="F140" s="76"/>
    </row>
    <row r="141" ht="15.75" customHeight="1">
      <c r="C141" s="76"/>
      <c r="D141" s="76"/>
      <c r="E141" s="76"/>
      <c r="F141" s="76"/>
    </row>
    <row r="142" ht="15.75" customHeight="1">
      <c r="C142" s="76"/>
      <c r="D142" s="76"/>
      <c r="E142" s="76"/>
      <c r="F142" s="76"/>
    </row>
    <row r="143" ht="15.75" customHeight="1">
      <c r="C143" s="76"/>
      <c r="D143" s="76"/>
      <c r="E143" s="76"/>
      <c r="F143" s="76"/>
    </row>
    <row r="144" ht="15.75" customHeight="1">
      <c r="C144" s="76"/>
      <c r="D144" s="76"/>
      <c r="E144" s="76"/>
      <c r="F144" s="76"/>
    </row>
    <row r="145" ht="15.75" customHeight="1">
      <c r="C145" s="76"/>
      <c r="D145" s="76"/>
      <c r="E145" s="76"/>
      <c r="F145" s="76"/>
    </row>
    <row r="146" ht="15.75" customHeight="1">
      <c r="C146" s="76"/>
      <c r="D146" s="76"/>
      <c r="E146" s="76"/>
      <c r="F146" s="76"/>
    </row>
    <row r="147" ht="15.75" customHeight="1">
      <c r="C147" s="76"/>
      <c r="D147" s="76"/>
      <c r="E147" s="76"/>
      <c r="F147" s="76"/>
    </row>
    <row r="148" ht="15.75" customHeight="1">
      <c r="C148" s="76"/>
      <c r="D148" s="76"/>
      <c r="E148" s="76"/>
      <c r="F148" s="76"/>
    </row>
    <row r="149" ht="15.75" customHeight="1">
      <c r="C149" s="76"/>
      <c r="D149" s="76"/>
      <c r="E149" s="76"/>
      <c r="F149" s="76"/>
    </row>
    <row r="150" ht="15.75" customHeight="1">
      <c r="C150" s="76"/>
      <c r="D150" s="76"/>
      <c r="E150" s="76"/>
      <c r="F150" s="76"/>
    </row>
    <row r="151" ht="15.75" customHeight="1">
      <c r="C151" s="76"/>
      <c r="D151" s="76"/>
      <c r="E151" s="76"/>
      <c r="F151" s="76"/>
    </row>
    <row r="152" ht="15.75" customHeight="1">
      <c r="C152" s="76"/>
      <c r="D152" s="76"/>
      <c r="E152" s="76"/>
      <c r="F152" s="76"/>
    </row>
    <row r="153" ht="15.75" customHeight="1">
      <c r="C153" s="76"/>
      <c r="D153" s="76"/>
      <c r="E153" s="76"/>
      <c r="F153" s="76"/>
    </row>
    <row r="154" ht="15.75" customHeight="1">
      <c r="C154" s="76"/>
      <c r="D154" s="76"/>
      <c r="E154" s="76"/>
      <c r="F154" s="76"/>
    </row>
    <row r="155" ht="15.75" customHeight="1">
      <c r="C155" s="76"/>
      <c r="D155" s="76"/>
      <c r="E155" s="76"/>
      <c r="F155" s="76"/>
    </row>
    <row r="156" ht="15.75" customHeight="1">
      <c r="C156" s="76"/>
      <c r="D156" s="76"/>
      <c r="E156" s="76"/>
      <c r="F156" s="76"/>
    </row>
    <row r="157" ht="15.75" customHeight="1">
      <c r="C157" s="76"/>
      <c r="D157" s="76"/>
      <c r="E157" s="76"/>
      <c r="F157" s="76"/>
    </row>
    <row r="158" ht="15.75" customHeight="1">
      <c r="C158" s="76"/>
      <c r="D158" s="76"/>
      <c r="E158" s="76"/>
      <c r="F158" s="76"/>
    </row>
    <row r="159" ht="15.75" customHeight="1">
      <c r="C159" s="76"/>
      <c r="D159" s="76"/>
      <c r="E159" s="76"/>
      <c r="F159" s="76"/>
    </row>
    <row r="160" ht="15.75" customHeight="1">
      <c r="C160" s="76"/>
      <c r="D160" s="76"/>
      <c r="E160" s="76"/>
      <c r="F160" s="76"/>
    </row>
    <row r="161" ht="15.75" customHeight="1">
      <c r="C161" s="76"/>
      <c r="D161" s="76"/>
      <c r="E161" s="76"/>
      <c r="F161" s="76"/>
    </row>
    <row r="162" ht="15.75" customHeight="1">
      <c r="C162" s="76"/>
      <c r="D162" s="76"/>
      <c r="E162" s="76"/>
      <c r="F162" s="76"/>
    </row>
    <row r="163" ht="15.75" customHeight="1">
      <c r="C163" s="76"/>
      <c r="D163" s="76"/>
      <c r="E163" s="76"/>
      <c r="F163" s="76"/>
    </row>
    <row r="164" ht="15.75" customHeight="1">
      <c r="C164" s="76"/>
      <c r="D164" s="76"/>
      <c r="E164" s="76"/>
      <c r="F164" s="76"/>
    </row>
    <row r="165" ht="15.75" customHeight="1">
      <c r="C165" s="76"/>
      <c r="D165" s="76"/>
      <c r="E165" s="76"/>
      <c r="F165" s="76"/>
    </row>
    <row r="166" ht="15.75" customHeight="1">
      <c r="C166" s="76"/>
      <c r="D166" s="76"/>
      <c r="E166" s="76"/>
      <c r="F166" s="76"/>
    </row>
    <row r="167" ht="15.75" customHeight="1">
      <c r="C167" s="76"/>
      <c r="D167" s="76"/>
      <c r="E167" s="76"/>
      <c r="F167" s="76"/>
    </row>
    <row r="168" ht="15.75" customHeight="1">
      <c r="C168" s="76"/>
      <c r="D168" s="76"/>
      <c r="E168" s="76"/>
      <c r="F168" s="76"/>
    </row>
    <row r="169" ht="15.75" customHeight="1">
      <c r="C169" s="76"/>
      <c r="D169" s="76"/>
      <c r="E169" s="76"/>
      <c r="F169" s="76"/>
    </row>
    <row r="170" ht="15.75" customHeight="1">
      <c r="C170" s="76"/>
      <c r="D170" s="76"/>
      <c r="E170" s="76"/>
      <c r="F170" s="76"/>
    </row>
    <row r="171" ht="15.75" customHeight="1">
      <c r="C171" s="76"/>
      <c r="D171" s="76"/>
      <c r="E171" s="76"/>
      <c r="F171" s="76"/>
    </row>
    <row r="172" ht="15.75" customHeight="1">
      <c r="C172" s="76"/>
      <c r="D172" s="76"/>
      <c r="E172" s="76"/>
      <c r="F172" s="76"/>
    </row>
    <row r="173" ht="15.75" customHeight="1">
      <c r="C173" s="76"/>
      <c r="D173" s="76"/>
      <c r="E173" s="76"/>
      <c r="F173" s="76"/>
    </row>
    <row r="174" ht="15.75" customHeight="1">
      <c r="C174" s="76"/>
      <c r="D174" s="76"/>
      <c r="E174" s="76"/>
      <c r="F174" s="76"/>
    </row>
    <row r="175" ht="15.75" customHeight="1">
      <c r="C175" s="76"/>
      <c r="D175" s="76"/>
      <c r="E175" s="76"/>
      <c r="F175" s="76"/>
    </row>
    <row r="176" ht="15.75" customHeight="1">
      <c r="C176" s="76"/>
      <c r="D176" s="76"/>
      <c r="E176" s="76"/>
      <c r="F176" s="76"/>
    </row>
    <row r="177" ht="15.75" customHeight="1">
      <c r="C177" s="76"/>
      <c r="D177" s="76"/>
      <c r="E177" s="76"/>
      <c r="F177" s="76"/>
    </row>
    <row r="178" ht="15.75" customHeight="1">
      <c r="C178" s="76"/>
      <c r="D178" s="76"/>
      <c r="E178" s="76"/>
      <c r="F178" s="76"/>
    </row>
    <row r="179" ht="15.75" customHeight="1">
      <c r="C179" s="76"/>
      <c r="D179" s="76"/>
      <c r="E179" s="76"/>
      <c r="F179" s="76"/>
    </row>
    <row r="180" ht="15.75" customHeight="1">
      <c r="C180" s="76"/>
      <c r="D180" s="76"/>
      <c r="E180" s="76"/>
      <c r="F180" s="76"/>
    </row>
    <row r="181" ht="15.75" customHeight="1">
      <c r="C181" s="76"/>
      <c r="D181" s="76"/>
      <c r="E181" s="76"/>
      <c r="F181" s="76"/>
    </row>
    <row r="182" ht="15.75" customHeight="1">
      <c r="C182" s="76"/>
      <c r="D182" s="76"/>
      <c r="E182" s="76"/>
      <c r="F182" s="76"/>
    </row>
    <row r="183" ht="15.75" customHeight="1">
      <c r="C183" s="76"/>
      <c r="D183" s="76"/>
      <c r="E183" s="76"/>
      <c r="F183" s="76"/>
    </row>
    <row r="184" ht="15.75" customHeight="1">
      <c r="C184" s="76"/>
      <c r="D184" s="76"/>
      <c r="E184" s="76"/>
      <c r="F184" s="76"/>
    </row>
    <row r="185" ht="15.75" customHeight="1">
      <c r="C185" s="76"/>
      <c r="D185" s="76"/>
      <c r="E185" s="76"/>
      <c r="F185" s="76"/>
    </row>
    <row r="186" ht="15.75" customHeight="1">
      <c r="C186" s="76"/>
      <c r="D186" s="76"/>
      <c r="E186" s="76"/>
      <c r="F186" s="76"/>
    </row>
    <row r="187" ht="15.75" customHeight="1">
      <c r="C187" s="76"/>
      <c r="D187" s="76"/>
      <c r="E187" s="76"/>
      <c r="F187" s="76"/>
    </row>
    <row r="188" ht="15.75" customHeight="1">
      <c r="C188" s="76"/>
      <c r="D188" s="76"/>
      <c r="E188" s="76"/>
      <c r="F188" s="76"/>
    </row>
    <row r="189" ht="15.75" customHeight="1">
      <c r="C189" s="76"/>
      <c r="D189" s="76"/>
      <c r="E189" s="76"/>
      <c r="F189" s="76"/>
    </row>
    <row r="190" ht="15.75" customHeight="1">
      <c r="C190" s="76"/>
      <c r="D190" s="76"/>
      <c r="E190" s="76"/>
      <c r="F190" s="76"/>
    </row>
    <row r="191" ht="15.75" customHeight="1">
      <c r="C191" s="76"/>
      <c r="D191" s="76"/>
      <c r="E191" s="76"/>
      <c r="F191" s="76"/>
    </row>
    <row r="192" ht="15.75" customHeight="1">
      <c r="C192" s="76"/>
      <c r="D192" s="76"/>
      <c r="E192" s="76"/>
      <c r="F192" s="76"/>
    </row>
    <row r="193" ht="15.75" customHeight="1">
      <c r="C193" s="76"/>
      <c r="D193" s="76"/>
      <c r="E193" s="76"/>
      <c r="F193" s="76"/>
    </row>
    <row r="194" ht="15.75" customHeight="1">
      <c r="C194" s="76"/>
      <c r="D194" s="76"/>
      <c r="E194" s="76"/>
      <c r="F194" s="76"/>
    </row>
    <row r="195" ht="15.75" customHeight="1">
      <c r="C195" s="76"/>
      <c r="D195" s="76"/>
      <c r="E195" s="76"/>
      <c r="F195" s="76"/>
    </row>
    <row r="196" ht="15.75" customHeight="1">
      <c r="C196" s="76"/>
      <c r="D196" s="76"/>
      <c r="E196" s="76"/>
      <c r="F196" s="76"/>
    </row>
    <row r="197" ht="15.75" customHeight="1">
      <c r="C197" s="76"/>
      <c r="D197" s="76"/>
      <c r="E197" s="76"/>
      <c r="F197" s="76"/>
    </row>
    <row r="198" ht="15.75" customHeight="1">
      <c r="C198" s="76"/>
      <c r="D198" s="76"/>
      <c r="E198" s="76"/>
      <c r="F198" s="76"/>
    </row>
    <row r="199" ht="15.75" customHeight="1">
      <c r="C199" s="76"/>
      <c r="D199" s="76"/>
      <c r="E199" s="76"/>
      <c r="F199" s="76"/>
    </row>
    <row r="200" ht="15.75" customHeight="1">
      <c r="C200" s="76"/>
      <c r="D200" s="76"/>
      <c r="E200" s="76"/>
      <c r="F200" s="76"/>
    </row>
    <row r="201" ht="15.75" customHeight="1">
      <c r="C201" s="76"/>
      <c r="D201" s="76"/>
      <c r="E201" s="76"/>
      <c r="F201" s="76"/>
    </row>
    <row r="202" ht="15.75" customHeight="1">
      <c r="C202" s="76"/>
      <c r="D202" s="76"/>
      <c r="E202" s="76"/>
      <c r="F202" s="76"/>
    </row>
    <row r="203" ht="15.75" customHeight="1">
      <c r="C203" s="76"/>
      <c r="D203" s="76"/>
      <c r="E203" s="76"/>
      <c r="F203" s="76"/>
    </row>
    <row r="204" ht="15.75" customHeight="1">
      <c r="C204" s="76"/>
      <c r="D204" s="76"/>
      <c r="E204" s="76"/>
      <c r="F204" s="76"/>
    </row>
    <row r="205" ht="15.75" customHeight="1">
      <c r="C205" s="76"/>
      <c r="D205" s="76"/>
      <c r="E205" s="76"/>
      <c r="F205" s="76"/>
    </row>
    <row r="206" ht="15.75" customHeight="1">
      <c r="C206" s="76"/>
      <c r="D206" s="76"/>
      <c r="E206" s="76"/>
      <c r="F206" s="76"/>
    </row>
    <row r="207" ht="15.75" customHeight="1">
      <c r="C207" s="76"/>
      <c r="D207" s="76"/>
      <c r="E207" s="76"/>
      <c r="F207" s="76"/>
    </row>
    <row r="208" ht="15.75" customHeight="1">
      <c r="C208" s="76"/>
      <c r="D208" s="76"/>
      <c r="E208" s="76"/>
      <c r="F208" s="76"/>
    </row>
    <row r="209" ht="15.75" customHeight="1">
      <c r="C209" s="76"/>
      <c r="D209" s="76"/>
      <c r="E209" s="76"/>
      <c r="F209" s="76"/>
    </row>
    <row r="210" ht="15.75" customHeight="1">
      <c r="C210" s="76"/>
      <c r="D210" s="76"/>
      <c r="E210" s="76"/>
      <c r="F210" s="76"/>
    </row>
    <row r="211" ht="15.75" customHeight="1">
      <c r="C211" s="76"/>
      <c r="D211" s="76"/>
      <c r="E211" s="76"/>
      <c r="F211" s="76"/>
    </row>
    <row r="212" ht="15.75" customHeight="1">
      <c r="C212" s="76"/>
      <c r="D212" s="76"/>
      <c r="E212" s="76"/>
      <c r="F212" s="76"/>
    </row>
    <row r="213" ht="15.75" customHeight="1">
      <c r="C213" s="76"/>
      <c r="D213" s="76"/>
      <c r="E213" s="76"/>
      <c r="F213" s="76"/>
    </row>
    <row r="214" ht="15.75" customHeight="1">
      <c r="C214" s="76"/>
      <c r="D214" s="76"/>
      <c r="E214" s="76"/>
      <c r="F214" s="76"/>
    </row>
    <row r="215" ht="15.75" customHeight="1">
      <c r="C215" s="76"/>
      <c r="D215" s="76"/>
      <c r="E215" s="76"/>
      <c r="F215" s="76"/>
    </row>
    <row r="216" ht="15.75" customHeight="1">
      <c r="C216" s="76"/>
      <c r="D216" s="76"/>
      <c r="E216" s="76"/>
      <c r="F216" s="76"/>
    </row>
    <row r="217" ht="15.75" customHeight="1">
      <c r="C217" s="76"/>
      <c r="D217" s="76"/>
      <c r="E217" s="76"/>
      <c r="F217" s="76"/>
    </row>
    <row r="218" ht="15.75" customHeight="1">
      <c r="C218" s="76"/>
      <c r="D218" s="76"/>
      <c r="E218" s="76"/>
      <c r="F218" s="76"/>
    </row>
    <row r="219" ht="15.75" customHeight="1">
      <c r="C219" s="76"/>
      <c r="D219" s="76"/>
      <c r="E219" s="76"/>
      <c r="F219" s="76"/>
    </row>
    <row r="220" ht="15.75" customHeight="1">
      <c r="C220" s="76"/>
      <c r="D220" s="76"/>
      <c r="E220" s="76"/>
      <c r="F220" s="7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4" width="12.63"/>
    <col customWidth="1" min="5" max="5" width="44.88"/>
    <col customWidth="1" min="6" max="6" width="10.88"/>
  </cols>
  <sheetData>
    <row r="2" ht="15.0" customHeight="1">
      <c r="A2" s="11" t="s">
        <v>235</v>
      </c>
      <c r="B2" s="102" t="s">
        <v>92</v>
      </c>
      <c r="C2" s="103"/>
      <c r="E2" s="41" t="s">
        <v>236</v>
      </c>
      <c r="F2" s="104"/>
      <c r="G2" s="104"/>
    </row>
    <row r="3" ht="15.0" customHeight="1">
      <c r="B3" s="105" t="s">
        <v>237</v>
      </c>
      <c r="C3" s="106">
        <v>0.001</v>
      </c>
      <c r="E3" s="1" t="s">
        <v>238</v>
      </c>
      <c r="F3" s="77">
        <f>$C$3*$C$7*$C$9</f>
        <v>10.0453368</v>
      </c>
    </row>
    <row r="4" ht="15.0" customHeight="1">
      <c r="B4" s="105" t="s">
        <v>239</v>
      </c>
      <c r="C4" s="107">
        <v>0.0</v>
      </c>
      <c r="E4" s="1" t="s">
        <v>240</v>
      </c>
      <c r="F4" s="77">
        <f>$C$10*($C$8*1000)</f>
        <v>32801340</v>
      </c>
    </row>
    <row r="5" ht="15.0" customHeight="1">
      <c r="B5" s="105" t="s">
        <v>241</v>
      </c>
      <c r="C5" s="107">
        <v>0.15</v>
      </c>
      <c r="E5" s="1" t="s">
        <v>102</v>
      </c>
      <c r="F5" s="1">
        <f>F3/F4</f>
        <v>0.000000306247757</v>
      </c>
    </row>
    <row r="6" ht="15.0" customHeight="1">
      <c r="B6" s="105" t="s">
        <v>242</v>
      </c>
      <c r="C6" s="106">
        <v>30.0</v>
      </c>
      <c r="E6" s="108" t="s">
        <v>243</v>
      </c>
      <c r="F6" s="109">
        <f t="shared" ref="F6:F7" si="1">$C22/$F$5</f>
        <v>1175331.827</v>
      </c>
    </row>
    <row r="7" ht="15.0" customHeight="1">
      <c r="B7" s="105" t="s">
        <v>103</v>
      </c>
      <c r="C7" s="110">
        <v>0.08376</v>
      </c>
      <c r="E7" s="108" t="s">
        <v>244</v>
      </c>
      <c r="F7" s="109">
        <f t="shared" si="1"/>
        <v>971166.2217</v>
      </c>
    </row>
    <row r="8" ht="15.0" customHeight="1">
      <c r="A8" s="1" t="s">
        <v>245</v>
      </c>
      <c r="B8" s="105" t="s">
        <v>111</v>
      </c>
      <c r="C8" s="111">
        <v>0.7646</v>
      </c>
      <c r="E8" s="2" t="s">
        <v>246</v>
      </c>
      <c r="F8" s="77">
        <f>F6-F7</f>
        <v>204165.6054</v>
      </c>
    </row>
    <row r="9" ht="15.0" customHeight="1">
      <c r="B9" s="105" t="s">
        <v>112</v>
      </c>
      <c r="C9" s="112">
        <v>119930.0</v>
      </c>
    </row>
    <row r="10" ht="15.0" customHeight="1">
      <c r="B10" s="105" t="s">
        <v>119</v>
      </c>
      <c r="C10" s="112">
        <v>42900.0</v>
      </c>
      <c r="E10" s="1" t="s">
        <v>247</v>
      </c>
      <c r="F10" s="77">
        <f t="shared" ref="F10:F11" si="2">$F6*(2.35*10^(-3))</f>
        <v>2762.029794</v>
      </c>
    </row>
    <row r="11" ht="15.0" customHeight="1">
      <c r="B11" s="113" t="s">
        <v>121</v>
      </c>
      <c r="C11" s="114">
        <v>166.0</v>
      </c>
      <c r="E11" s="1" t="s">
        <v>248</v>
      </c>
      <c r="F11" s="77">
        <f t="shared" si="2"/>
        <v>2282.240621</v>
      </c>
      <c r="G11" s="1">
        <f>F11/0.00378</f>
        <v>603767.3601</v>
      </c>
    </row>
    <row r="12" ht="15.0" customHeight="1">
      <c r="B12" s="62" t="s">
        <v>122</v>
      </c>
      <c r="C12" s="115">
        <f>'Material Deflection'!N6</f>
        <v>243.1319</v>
      </c>
      <c r="E12" s="34" t="s">
        <v>249</v>
      </c>
      <c r="F12" s="116">
        <f>F10-F11</f>
        <v>479.7891728</v>
      </c>
    </row>
    <row r="13" ht="15.0" customHeight="1">
      <c r="B13" s="1"/>
    </row>
    <row r="15" ht="15.0" customHeight="1">
      <c r="B15" s="41" t="s">
        <v>250</v>
      </c>
      <c r="C15" s="104"/>
    </row>
    <row r="16" ht="15.0" customHeight="1">
      <c r="B16" s="1" t="s">
        <v>251</v>
      </c>
      <c r="C16" s="1">
        <f>$C$3*(1-$C$4)</f>
        <v>0.001</v>
      </c>
    </row>
    <row r="17" ht="15.0" customHeight="1">
      <c r="B17" s="1" t="s">
        <v>252</v>
      </c>
      <c r="C17" s="1">
        <f>C16*$F$3</f>
        <v>0.0100453368</v>
      </c>
    </row>
    <row r="18" ht="15.0" customHeight="1">
      <c r="B18" s="1" t="s">
        <v>253</v>
      </c>
      <c r="C18" s="1">
        <f>$C$5*C17</f>
        <v>0.00150680052</v>
      </c>
    </row>
    <row r="19" ht="15.0" customHeight="1">
      <c r="B19" s="1" t="s">
        <v>254</v>
      </c>
      <c r="C19" s="1">
        <f>$C$6*60</f>
        <v>1800</v>
      </c>
    </row>
    <row r="20" ht="15.0" customHeight="1">
      <c r="B20" s="1" t="s">
        <v>255</v>
      </c>
      <c r="C20" s="1">
        <f>0.454*$C$11</f>
        <v>75.364</v>
      </c>
    </row>
    <row r="21" ht="15.0" customHeight="1">
      <c r="B21" s="1" t="s">
        <v>256</v>
      </c>
      <c r="C21" s="1">
        <f>0.454*$C$12</f>
        <v>110.3818826</v>
      </c>
    </row>
    <row r="22" ht="15.0" customHeight="1">
      <c r="B22" s="61" t="s">
        <v>257</v>
      </c>
      <c r="C22" s="117">
        <f t="shared" ref="C22:C23" si="3">SQRT((2*$C$18*1000*$C$19^(2))/($C20))/1000</f>
        <v>0.3599427357</v>
      </c>
    </row>
    <row r="23" ht="15.0" customHeight="1">
      <c r="B23" s="62" t="s">
        <v>258</v>
      </c>
      <c r="C23" s="118">
        <f t="shared" si="3"/>
        <v>0.297417477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