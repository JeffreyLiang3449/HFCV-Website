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ems" sheetId="1" r:id="rId5"/>
    <sheet state="visible" name="Cost"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tc={d852795b-00d3-4305-92fd-e526782c96d2}</author>
  </authors>
  <commentList>
    <comment authorId="0" xr:uid="{d852795b-00d3-4305-92fd-e526782c96d2}" ref="A22">
      <text>
        <t xml:space="preserve">[Threaded comment]
 Your version of Excel allows you to read this threaded comment; however, any edits to it will get removed if the file is opened in a newer version of Excel. Learn more: https://go.microsoft.com/fwlink/?linkid=870924
Comment:
	for brakes
</t>
      </text>
    </comment>
  </commentList>
</comments>
</file>

<file path=xl/sharedStrings.xml><?xml version="1.0" encoding="utf-8"?>
<sst xmlns="http://schemas.openxmlformats.org/spreadsheetml/2006/main" count="99" uniqueCount="86">
  <si>
    <t>Item</t>
  </si>
  <si>
    <t>Type</t>
  </si>
  <si>
    <t>Quatity</t>
  </si>
  <si>
    <t>Price per unit</t>
  </si>
  <si>
    <t>Shipping/Misc Fees</t>
  </si>
  <si>
    <t>Total Cost</t>
  </si>
  <si>
    <t>Carbon Fibre tubes</t>
  </si>
  <si>
    <t xml:space="preserve">Manufacturer/Company ordered from </t>
  </si>
  <si>
    <t xml:space="preserve">Item Name </t>
  </si>
  <si>
    <t>Item Number</t>
  </si>
  <si>
    <t>Link</t>
  </si>
  <si>
    <t>Notes</t>
  </si>
  <si>
    <t>varies</t>
  </si>
  <si>
    <t>Carbon Fibre Tubes</t>
  </si>
  <si>
    <t>44.10+72.95</t>
  </si>
  <si>
    <t>Goodwinds Composites</t>
  </si>
  <si>
    <t>WCT .750" x 60" Wrapped Carbon Tube</t>
  </si>
  <si>
    <t>WCT750060</t>
  </si>
  <si>
    <t>https://goodwinds.com/product/wct-750-x-60-wrapped-carbon-tube/</t>
  </si>
  <si>
    <t>Suspension</t>
  </si>
  <si>
    <t>approx 24.78</t>
  </si>
  <si>
    <t>Steering</t>
  </si>
  <si>
    <t>Aluminium Connectors</t>
  </si>
  <si>
    <t>Swarthmore</t>
  </si>
  <si>
    <t>1 in Stock Round</t>
  </si>
  <si>
    <t>If need more ask J to order</t>
  </si>
  <si>
    <t>Epoxy</t>
  </si>
  <si>
    <t xml:space="preserve">Amazon </t>
  </si>
  <si>
    <t>2'' Front Suspension Shock Swing Arm Full Kit Upper Lower Steering Knuckle Spindle Kit For ATV Quad Bike Go Kart Buggy DIY Parts Front Suspension Swingarm Assembly 3 Holes Flange</t>
  </si>
  <si>
    <t>Bolts</t>
  </si>
  <si>
    <t>https://www.amazon.com/gp/product/B0CH77CL6Y/ref=ox_sc_act_title_3?smid=AEJS3TTKF0L7A&amp;th=1</t>
  </si>
  <si>
    <t>Not custom, so that in future if need be can replace</t>
  </si>
  <si>
    <t>Suspension (new)</t>
  </si>
  <si>
    <t>Front Suspension Swingarm Assembly Upper &amp; Lower Swing Arm Suspension Shock Kit For DIY Buggy Electric ATV Quad Bike Buggy Go Kart Parts 220mm</t>
  </si>
  <si>
    <t>https://www.amazon.com/Front-Suspension-Swingarm-Assembly-Electric/dp/B0BL18TYFT?th=1</t>
  </si>
  <si>
    <t xml:space="preserve">Final Cost </t>
  </si>
  <si>
    <t>Smaller and lighter than the previous kit</t>
  </si>
  <si>
    <t>Steering Kit</t>
  </si>
  <si>
    <t>270mm Steering Wheel Steel Kit Gear Rack Pinion Adjustable Shaft Set DIY Parts for Go Kart Go Cart Golf Cart ATV UTV 110cc 125cc 140cc 150cc Buggy Drift Trike Off Road Kart (440mm Gear Rack)</t>
  </si>
  <si>
    <t>https://www.amazon.com/gp/product/B0CM9HDGXD/ref=ox_sc_act_title_1?smid=A3882WZCJFKWU8&amp;th=1</t>
  </si>
  <si>
    <t>Wheels</t>
  </si>
  <si>
    <t>Cycle Sport (Media)</t>
  </si>
  <si>
    <t>Custom 20in Wheels fit for hydraulic disk brakes</t>
  </si>
  <si>
    <t>Phone: 610-565-6023  or 610-565-9535</t>
  </si>
  <si>
    <t>Bolts for Suspension</t>
  </si>
  <si>
    <t>McMaster Carr</t>
  </si>
  <si>
    <t>High-Strength Class 10.9 Steel Hex Head Screw     M10 x 1.50 mm Thread, 140 mm Long</t>
  </si>
  <si>
    <t>90447A370</t>
  </si>
  <si>
    <t>So that we can attach the suspension through a one inch aluminium sqaure tube</t>
  </si>
  <si>
    <t>Carbon Fibre Plates for floor</t>
  </si>
  <si>
    <t>Dragon plate</t>
  </si>
  <si>
    <t>DPL High Performance Twill 0/90 Lam. ~ 1/16" Satin</t>
  </si>
  <si>
    <t>https://dragonplate.com/solid-carbon-fiber-sheets-plates#/pagesize=90&amp;orderby=5</t>
  </si>
  <si>
    <t>Carbon Fibre Plates for Cowl</t>
  </si>
  <si>
    <t>Elevate</t>
  </si>
  <si>
    <t>Carbon fiber sheet, plain weave, 1/16" thick</t>
  </si>
  <si>
    <t>Sizes starting at 12130051</t>
  </si>
  <si>
    <t>https://www.elevatedmaterials.com/product-category/carbon-fiber-sheet/?_gl=1*qxmvch*_up*MQ..&amp;gclid=CjwKCAjwx8nCBhAwEiwA_z__07R0YSm-WAD2Ufp57n1nNRlKatRNKYwzmkMI6kb9DI439Gc_1LLrpBoCRMcQAvD_BwE&amp;gbraid=0AAAAACgYLF0m6xGWGe2pO9mOtC81OFZjl</t>
  </si>
  <si>
    <t>Polycarbonate</t>
  </si>
  <si>
    <t xml:space="preserve">Screws for floor and cowl </t>
  </si>
  <si>
    <t>Passivated 18-8 Stainless Steel Pan Head Phillips Screw</t>
  </si>
  <si>
    <t>91772A911</t>
  </si>
  <si>
    <t>Taps for floor and cowl</t>
  </si>
  <si>
    <t>Press-Fit Studs</t>
  </si>
  <si>
    <t>93580A721</t>
  </si>
  <si>
    <t>Hardware for windshield (Hinge)</t>
  </si>
  <si>
    <t>Hardware for windshield (Bracket)</t>
  </si>
  <si>
    <t>Hardware for windshield (Latch)</t>
  </si>
  <si>
    <t>Shoulder Screw</t>
  </si>
  <si>
    <t xml:space="preserve">1/2" Shoulder Diameter, 4 and 1/4" Shoulder length. For connecting pedal to pedal stand. </t>
  </si>
  <si>
    <t>91259A729</t>
  </si>
  <si>
    <t>Ball Joint Rod</t>
  </si>
  <si>
    <t xml:space="preserve">M4 internally threaded shoulder screw. For directly connecting pedal to Shimano brakes. Need two. </t>
  </si>
  <si>
    <t>59935K14</t>
  </si>
  <si>
    <t>Screws</t>
  </si>
  <si>
    <t>6-32 Screws 1/2" long. For attaching all components of the pedal itself together.</t>
  </si>
  <si>
    <t>91263A516</t>
  </si>
  <si>
    <t xml:space="preserve">1/4" Screws 1/2" long. For attaching the brake holder to the base of the pedal. </t>
  </si>
  <si>
    <t>91263A560</t>
  </si>
  <si>
    <t>Shoulder Screw for Ball Joint Rod</t>
  </si>
  <si>
    <t xml:space="preserve">12 mm long shoulder screw with 4mm shoulder diameter. For attaching the 4mm Ball joint to the pedal. Need two. </t>
  </si>
  <si>
    <r>
      <rPr>
        <rFont val="Arial"/>
        <sz val="9.0"/>
        <u/>
      </rPr>
      <t>92981A143</t>
    </r>
  </si>
  <si>
    <t>For plastic to metal</t>
  </si>
  <si>
    <t xml:space="preserve">Epoxy </t>
  </si>
  <si>
    <t>Epoxy, 3M DP110, 1.64 FL. oz. Cartridge, Gray</t>
  </si>
  <si>
    <t>7467A23</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</si>
</sst>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scheme val="minor"/>
    </font>
    <font>
      <b/>
      <color theme="1"/>
      <name val="Arial"/>
      <scheme val="minor"/>
    </font>
    <font>
      <u/>
      <color rgb="FF0000FF"/>
    </font>
    <font>
      <color rgb="FF0F1111"/>
      <name val="&quot;Amazon Ember&quot;"/>
    </font>
    <font>
      <color rgb="FF222222"/>
      <name val="Arial"/>
    </font>
    <font>
      <sz val="11.0"/>
      <color rgb="FF000000"/>
      <name val="Arial"/>
    </font>
    <font>
      <color theme="1"/>
      <name val="Arial"/>
    </font>
    <font>
      <u/>
      <sz val="9.0"/>
      <color rgb="FF0000FF"/>
      <name val="Arial"/>
    </font>
    <font>
      <u/>
      <sz val="9.0"/>
      <color rgb="FF0000FF"/>
      <name val="Arial"/>
    </font>
  </fonts>
  <fills count="4">
    <fill>
      <patternFill patternType="none"/>
    </fill>
    <fill>
      <patternFill patternType="lightGray"/>
    </fill>
    <fill>
      <patternFill patternType="solid">
        <fgColor rgb="FFFFFFFF"/>
        <bgColor rgb="FFFFFFFF"/>
      </patternFill>
    </fill>
    <fill>
      <patternFill patternType="solid">
        <fgColor rgb="FFFFE599"/>
        <bgColor rgb="FFFFE599"/>
      </patternFill>
    </fill>
  </fills>
  <borders count="5">
    <border/>
    <border>
      <left style="thin">
        <color rgb="FF000000"/>
      </left>
      <top style="thin">
        <color rgb="FF000000"/>
      </top>
    </border>
    <border>
      <top style="thin">
        <color rgb="FF000000"/>
      </top>
    </border>
    <border>
      <right style="thin">
        <color rgb="FF000000"/>
      </right>
    </border>
    <border>
      <left style="thin">
        <color rgb="FF000000"/>
      </left>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shrinkToFit="0" wrapText="1"/>
    </xf>
    <xf borderId="0" fillId="0" fontId="1" numFmtId="0" xfId="0" applyFont="1"/>
    <xf borderId="0" fillId="0" fontId="3" numFmtId="0" xfId="0" applyAlignment="1" applyFont="1">
      <alignment readingOrder="0" shrinkToFit="0" wrapText="1"/>
    </xf>
    <xf borderId="0" fillId="0" fontId="1" numFmtId="0" xfId="0" applyAlignment="1" applyFont="1">
      <alignment shrinkToFit="0" wrapText="1"/>
    </xf>
    <xf borderId="0" fillId="2" fontId="4" numFmtId="0" xfId="0" applyAlignment="1" applyFill="1" applyFont="1">
      <alignment readingOrder="0" shrinkToFit="0" wrapText="1"/>
    </xf>
    <xf borderId="0" fillId="2" fontId="5" numFmtId="0" xfId="0" applyAlignment="1" applyFill="1" applyFont="1">
      <alignment readingOrder="0"/>
    </xf>
    <xf borderId="0" fillId="0" fontId="6" numFmtId="0" xfId="0" applyAlignment="1" applyFont="1">
      <alignment readingOrder="0"/>
    </xf>
    <xf borderId="0" fillId="2" fontId="5" numFmtId="0" xfId="0" applyAlignment="1" applyFill="1" applyFont="1">
      <alignment readingOrder="0"/>
    </xf>
    <xf borderId="1" fillId="3" fontId="7" numFmtId="0" xfId="0" applyAlignment="1" applyBorder="1" applyFill="1" applyFont="1">
      <alignment shrinkToFit="0" wrapText="1"/>
    </xf>
    <xf borderId="0" fillId="3" fontId="1" numFmtId="0" xfId="0" applyAlignment="1" applyFill="1" applyFont="1">
      <alignment readingOrder="0"/>
    </xf>
    <xf borderId="2" fillId="3" fontId="7" numFmtId="0" xfId="0" applyAlignment="1" applyBorder="1" applyFill="1" applyFont="1">
      <alignment shrinkToFit="0" wrapText="1"/>
    </xf>
    <xf borderId="3" fillId="3" fontId="8" numFmtId="0" xfId="0" applyAlignment="1" applyBorder="1" applyFill="1" applyFont="1">
      <alignment horizontal="center" shrinkToFit="0" wrapText="1"/>
    </xf>
    <xf borderId="4" fillId="3" fontId="7" numFmtId="0" xfId="0" applyAlignment="1" applyBorder="1" applyFill="1" applyFont="1">
      <alignment shrinkToFit="0" wrapText="1"/>
    </xf>
    <xf borderId="0" fillId="3" fontId="7" numFmtId="0" xfId="0" applyAlignment="1" applyFill="1" applyFont="1">
      <alignment shrinkToFit="0" wrapText="1"/>
    </xf>
    <xf borderId="3" fillId="3" fontId="9" numFmtId="0" xfId="0" applyAlignment="1" applyBorder="1" applyFill="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ora Jiang" id="{5b0ecc6f-6f74-499b-9178-1c925433971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2" dT="2025-10-07T00:45:16.00" personId="{5b0ecc6f-6f74-499b-9178-1c9254339716}" id="{d852795b-00d3-4305-92fd-e526782c96d2}" done="0">
    <x18tc:text xml:space="preserve">for brakes</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www.mcmaster.com/59935K14" TargetMode="External"/><Relationship Id="rId10" Type="http://schemas.openxmlformats.org/officeDocument/2006/relationships/hyperlink" Target="https://www.mcmaster.com/91259A729" TargetMode="External"/><Relationship Id="rId13" Type="http://schemas.openxmlformats.org/officeDocument/2006/relationships/hyperlink" Target="https://www.mcmaster.com/91263A560" TargetMode="External"/><Relationship Id="rId12" Type="http://schemas.openxmlformats.org/officeDocument/2006/relationships/hyperlink" Target="https://www.mcmaster.com/91263A516"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goodwinds.com/product/wct-750-x-60-wrapped-carbon-tube/" TargetMode="External"/><Relationship Id="rId9" Type="http://schemas.openxmlformats.org/officeDocument/2006/relationships/hyperlink" Target="https://www.elevatedmaterials.com/product-category/carbon-fiber-sheet/?_gl=1*qxmvch*_up*MQ..&amp;gclid=CjwKCAjwx8nCBhAwEiwA_z__07R0YSm-WAD2Ufp57n1nNRlKatRNKYwzmkMI6kb9DI439Gc_1LLrpBoCRMcQAvD_BwE&amp;gbraid=0AAAAACgYLF0m6xGWGe2pO9mOtC81OFZjl" TargetMode="External"/><Relationship Id="rId15" Type="http://schemas.openxmlformats.org/officeDocument/2006/relationships/drawing" Target="../drawings/drawing1.xml"/><Relationship Id="rId14" Type="http://schemas.openxmlformats.org/officeDocument/2006/relationships/hyperlink" Target="https://www.mcmaster.com/92981A143" TargetMode="External"/><Relationship Id="rId16" Type="http://schemas.openxmlformats.org/officeDocument/2006/relationships/vmlDrawing" Target="../drawings/vmlDrawing1.vml"/><Relationship Id="rId5" Type="http://schemas.openxmlformats.org/officeDocument/2006/relationships/hyperlink" Target="https://www.amazon.com/gp/product/B0CH77CL6Y/ref=ox_sc_act_title_3?smid=AEJS3TTKF0L7A&amp;th=1" TargetMode="External"/><Relationship Id="rId6" Type="http://schemas.openxmlformats.org/officeDocument/2006/relationships/hyperlink" Target="https://www.amazon.com/Front-Suspension-Swingarm-Assembly-Electric/dp/B0BL18TYFT?th=1" TargetMode="External"/><Relationship Id="rId7" Type="http://schemas.openxmlformats.org/officeDocument/2006/relationships/hyperlink" Target="https://www.amazon.com/gp/product/B0CM9HDGXD/ref=ox_sc_act_title_1?smid=A3882WZCJFKWU8&amp;th=1" TargetMode="External"/><Relationship Id="rId8" Type="http://schemas.openxmlformats.org/officeDocument/2006/relationships/hyperlink" Target="https://dragonplate.com/solid-carbon-fiber-sheets-plate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33.25"/>
    <col customWidth="1" min="3" max="3" width="40.38"/>
    <col customWidth="1" min="5" max="5" width="28.25"/>
    <col customWidth="1" min="6" max="6" width="27.5"/>
  </cols>
  <sheetData>
    <row r="1">
      <c r="A1" s="2" t="s">
        <v>1</v>
      </c>
      <c r="B1" s="2" t="s">
        <v>7</v>
      </c>
      <c r="C1" s="2" t="s">
        <v>8</v>
      </c>
      <c r="D1" s="2" t="s">
        <v>9</v>
      </c>
      <c r="E1" s="2" t="s">
        <v>10</v>
      </c>
      <c r="F1" s="2" t="s">
        <v>11</v>
      </c>
    </row>
    <row r="3">
      <c r="A3" s="3" t="s">
        <v>13</v>
      </c>
      <c r="B3" s="3" t="s">
        <v>15</v>
      </c>
      <c r="C3" s="3" t="s">
        <v>16</v>
      </c>
      <c r="D3" s="3" t="s">
        <v>17</v>
      </c>
      <c r="E3" s="5" t="s">
        <v>18</v>
      </c>
      <c r="F3" s="6"/>
    </row>
    <row r="4">
      <c r="A4" s="3" t="s">
        <v>22</v>
      </c>
      <c r="B4" s="3" t="s">
        <v>23</v>
      </c>
      <c r="C4" s="3" t="s">
        <v>24</v>
      </c>
      <c r="D4" s="3"/>
      <c r="E4" s="3"/>
      <c r="F4" s="3" t="s">
        <v>25</v>
      </c>
    </row>
    <row r="5">
      <c r="A5" s="3" t="s">
        <v>19</v>
      </c>
      <c r="B5" s="3" t="s">
        <v>27</v>
      </c>
      <c r="C5" s="3" t="s">
        <v>28</v>
      </c>
      <c r="D5" s="6"/>
      <c r="E5" s="5" t="s">
        <v>30</v>
      </c>
      <c r="F5" s="3" t="s">
        <v>31</v>
      </c>
    </row>
    <row r="6">
      <c r="A6" s="3" t="s">
        <v>32</v>
      </c>
      <c r="B6" s="3" t="s">
        <v>27</v>
      </c>
      <c r="C6" s="7" t="s">
        <v>33</v>
      </c>
      <c r="D6" s="6"/>
      <c r="E6" s="5" t="s">
        <v>34</v>
      </c>
      <c r="F6" s="3" t="s">
        <v>36</v>
      </c>
    </row>
    <row r="7">
      <c r="A7" s="3" t="s">
        <v>37</v>
      </c>
      <c r="B7" s="3" t="s">
        <v>27</v>
      </c>
      <c r="C7" s="3" t="s">
        <v>38</v>
      </c>
      <c r="D7" s="6"/>
      <c r="E7" s="5" t="s">
        <v>39</v>
      </c>
      <c r="F7" s="3" t="s">
        <v>31</v>
      </c>
    </row>
    <row r="8">
      <c r="A8" s="3" t="s">
        <v>40</v>
      </c>
      <c r="B8" s="3" t="s">
        <v>41</v>
      </c>
      <c r="C8" s="3" t="s">
        <v>42</v>
      </c>
      <c r="D8" s="6"/>
      <c r="E8" s="6"/>
      <c r="F8" s="3" t="s">
        <v>43</v>
      </c>
    </row>
    <row r="10">
      <c r="A10" s="3" t="s">
        <v>44</v>
      </c>
      <c r="B10" s="3" t="s">
        <v>45</v>
      </c>
      <c r="C10" s="3" t="s">
        <v>46</v>
      </c>
      <c r="D10" s="8" t="s">
        <v>47</v>
      </c>
      <c r="E10" s="6"/>
      <c r="F10" s="3" t="s">
        <v>48</v>
      </c>
    </row>
    <row r="11">
      <c r="A11" s="6"/>
      <c r="B11" s="6"/>
      <c r="D11" s="6"/>
      <c r="E11" s="6"/>
      <c r="F11" s="6"/>
    </row>
    <row r="12">
      <c r="A12" s="3" t="s">
        <v>49</v>
      </c>
      <c r="B12" s="3" t="s">
        <v>50</v>
      </c>
      <c r="C12" s="9" t="s">
        <v>51</v>
      </c>
      <c r="D12" s="6"/>
      <c r="E12" s="5" t="s">
        <v>52</v>
      </c>
      <c r="F12" s="6"/>
    </row>
    <row r="13">
      <c r="A13" s="3" t="s">
        <v>53</v>
      </c>
      <c r="B13" s="3" t="s">
        <v>54</v>
      </c>
      <c r="C13" s="3" t="s">
        <v>55</v>
      </c>
      <c r="D13" s="3" t="s">
        <v>56</v>
      </c>
      <c r="E13" s="5" t="s">
        <v>57</v>
      </c>
      <c r="F13" s="6"/>
    </row>
    <row r="14">
      <c r="A14" s="3" t="s">
        <v>58</v>
      </c>
      <c r="B14" s="6"/>
      <c r="C14" s="6"/>
      <c r="D14" s="6"/>
      <c r="E14" s="6"/>
      <c r="F14" s="6"/>
    </row>
    <row r="15">
      <c r="A15" s="3" t="s">
        <v>59</v>
      </c>
      <c r="B15" s="3" t="s">
        <v>45</v>
      </c>
      <c r="C15" s="10" t="s">
        <v>60</v>
      </c>
      <c r="D15" s="10" t="s">
        <v>61</v>
      </c>
      <c r="E15" s="6"/>
      <c r="F15" s="6"/>
    </row>
    <row r="16">
      <c r="A16" s="3" t="s">
        <v>62</v>
      </c>
      <c r="B16" s="3" t="s">
        <v>45</v>
      </c>
      <c r="C16" s="10" t="s">
        <v>63</v>
      </c>
      <c r="D16" s="10" t="s">
        <v>64</v>
      </c>
      <c r="E16" s="6"/>
      <c r="F16" s="6"/>
    </row>
    <row r="17">
      <c r="B17" s="6"/>
      <c r="C17" s="6"/>
      <c r="D17" s="6"/>
      <c r="E17" s="6"/>
      <c r="F17" s="6"/>
    </row>
    <row r="18">
      <c r="A18" s="3" t="s">
        <v>65</v>
      </c>
      <c r="B18" s="6"/>
      <c r="C18" s="6"/>
      <c r="D18" s="6"/>
      <c r="E18" s="6"/>
      <c r="F18" s="6"/>
    </row>
    <row r="19">
      <c r="A19" s="3" t="s">
        <v>66</v>
      </c>
      <c r="B19" s="6"/>
      <c r="C19" s="6"/>
      <c r="D19" s="6"/>
      <c r="E19" s="6"/>
      <c r="F19" s="6"/>
    </row>
    <row r="20">
      <c r="A20" s="3" t="s">
        <v>67</v>
      </c>
      <c r="B20" s="6"/>
      <c r="C20" s="6"/>
      <c r="D20" s="6"/>
      <c r="E20" s="6"/>
      <c r="F20" s="6"/>
    </row>
    <row r="21">
      <c r="A21" s="6"/>
      <c r="B21" s="6"/>
      <c r="C21" s="6"/>
      <c r="D21" s="6"/>
      <c r="E21" s="6"/>
      <c r="F21" s="6"/>
    </row>
    <row r="22">
      <c r="A22" s="11" t="s">
        <v>68</v>
      </c>
      <c r="B22" s="12" t="s">
        <v>45</v>
      </c>
      <c r="C22" s="13" t="s">
        <v>69</v>
      </c>
      <c r="D22" s="14" t="s">
        <v>70</v>
      </c>
    </row>
    <row r="23">
      <c r="A23" s="15" t="s">
        <v>71</v>
      </c>
      <c r="B23" s="12" t="s">
        <v>45</v>
      </c>
      <c r="C23" s="16" t="s">
        <v>72</v>
      </c>
      <c r="D23" s="17" t="s">
        <v>73</v>
      </c>
      <c r="E23" s="6"/>
      <c r="F23" s="6"/>
    </row>
    <row r="24">
      <c r="A24" s="15" t="s">
        <v>74</v>
      </c>
      <c r="B24" s="12" t="s">
        <v>45</v>
      </c>
      <c r="C24" s="16" t="s">
        <v>75</v>
      </c>
      <c r="D24" s="14" t="s">
        <v>76</v>
      </c>
      <c r="E24" s="6"/>
      <c r="F24" s="6"/>
    </row>
    <row r="25">
      <c r="A25" s="15" t="s">
        <v>74</v>
      </c>
      <c r="B25" s="12" t="s">
        <v>45</v>
      </c>
      <c r="C25" s="16" t="s">
        <v>77</v>
      </c>
      <c r="D25" s="14" t="s">
        <v>78</v>
      </c>
      <c r="E25" s="6"/>
      <c r="F25" s="6"/>
    </row>
    <row r="26">
      <c r="A26" s="15" t="s">
        <v>79</v>
      </c>
      <c r="B26" s="12" t="s">
        <v>45</v>
      </c>
      <c r="C26" s="16" t="s">
        <v>80</v>
      </c>
      <c r="D26" s="14" t="s">
        <v>81</v>
      </c>
      <c r="E26" s="6"/>
      <c r="F26" s="6"/>
    </row>
    <row r="27">
      <c r="E27" s="6"/>
      <c r="F27" s="3" t="s">
        <v>82</v>
      </c>
    </row>
    <row r="28">
      <c r="E28" s="6"/>
      <c r="F28" s="6"/>
    </row>
    <row r="29">
      <c r="A29" s="6"/>
      <c r="B29" s="6"/>
      <c r="C29" s="6"/>
      <c r="D29" s="6"/>
      <c r="E29" s="6"/>
      <c r="F29" s="6"/>
    </row>
    <row r="30">
      <c r="A30" s="6"/>
      <c r="B30" s="6"/>
      <c r="C30" s="6"/>
      <c r="D30" s="6"/>
      <c r="E30" s="6"/>
      <c r="F30" s="6"/>
    </row>
    <row r="31">
      <c r="A31" s="6"/>
      <c r="B31" s="6"/>
      <c r="C31" s="6"/>
      <c r="D31" s="6"/>
      <c r="E31" s="6"/>
      <c r="F31" s="6"/>
    </row>
    <row r="32">
      <c r="A32" s="6"/>
      <c r="B32" s="6"/>
      <c r="C32" s="6"/>
      <c r="D32" s="6"/>
      <c r="E32" s="6"/>
      <c r="F32" s="6"/>
    </row>
    <row r="33">
      <c r="A33" s="3" t="s">
        <v>83</v>
      </c>
      <c r="B33" s="3" t="s">
        <v>45</v>
      </c>
      <c r="C33" s="3" t="s">
        <v>84</v>
      </c>
      <c r="D33" s="8" t="s">
        <v>85</v>
      </c>
      <c r="E33" s="6"/>
      <c r="F33" s="6"/>
    </row>
    <row r="34">
      <c r="A34" s="6"/>
      <c r="B34" s="6"/>
      <c r="C34" s="6"/>
      <c r="D34" s="6"/>
      <c r="E34" s="6"/>
      <c r="F34" s="6"/>
    </row>
    <row r="35">
      <c r="A35" s="6"/>
      <c r="B35" s="6"/>
      <c r="C35" s="6"/>
      <c r="D35" s="6"/>
      <c r="E35" s="6"/>
      <c r="F35" s="6"/>
    </row>
    <row r="36">
      <c r="A36" s="6"/>
      <c r="B36" s="6"/>
      <c r="C36" s="6"/>
      <c r="D36" s="6"/>
      <c r="E36" s="6"/>
      <c r="F36" s="6"/>
    </row>
    <row r="37">
      <c r="A37" s="6"/>
      <c r="B37" s="6"/>
      <c r="C37" s="6"/>
      <c r="D37" s="6"/>
      <c r="E37" s="6"/>
      <c r="F37" s="6"/>
    </row>
    <row r="38">
      <c r="A38" s="6"/>
      <c r="B38" s="6"/>
      <c r="C38" s="6"/>
      <c r="D38" s="6"/>
      <c r="E38" s="6"/>
      <c r="F38" s="6"/>
    </row>
    <row r="39">
      <c r="A39" s="6"/>
      <c r="B39" s="6"/>
      <c r="C39" s="6"/>
      <c r="D39" s="6"/>
      <c r="E39" s="6"/>
      <c r="F39" s="6"/>
    </row>
    <row r="40">
      <c r="A40" s="6"/>
      <c r="B40" s="6"/>
      <c r="C40" s="6"/>
      <c r="D40" s="6"/>
      <c r="E40" s="6"/>
      <c r="F40" s="6"/>
    </row>
    <row r="41">
      <c r="A41" s="6"/>
      <c r="B41" s="6"/>
      <c r="C41" s="6"/>
      <c r="D41" s="6"/>
      <c r="E41" s="6"/>
      <c r="F41" s="6"/>
    </row>
  </sheetData>
  <hyperlinks>
    <hyperlink r:id="rId4" ref="E3"/>
    <hyperlink r:id="rId5" ref="E5"/>
    <hyperlink r:id="rId6" ref="E6"/>
    <hyperlink r:id="rId7" ref="E7"/>
    <hyperlink r:id="rId8" location="/pagesize=90&amp;orderby=5" ref="E12"/>
    <hyperlink r:id="rId9" ref="E13"/>
    <hyperlink r:id="rId10" ref="D22"/>
    <hyperlink r:id="rId11" ref="D23"/>
    <hyperlink r:id="rId12" ref="D24"/>
    <hyperlink r:id="rId13" ref="D25"/>
    <hyperlink r:id="rId14" ref="D26"/>
  </hyperlinks>
  <drawing r:id="rId15"/>
  <legacyDrawing r:id="rId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3" max="3" width="12.0"/>
    <col customWidth="1" min="4" max="4" width="18.0"/>
  </cols>
  <sheetData>
    <row r="1">
      <c r="A1" s="1" t="s">
        <v>0</v>
      </c>
      <c r="B1" s="1" t="s">
        <v>2</v>
      </c>
      <c r="C1" s="1" t="s">
        <v>3</v>
      </c>
      <c r="D1" s="1" t="s">
        <v>4</v>
      </c>
      <c r="E1" s="1" t="s">
        <v>5</v>
      </c>
    </row>
    <row r="2">
      <c r="A2" s="1" t="s">
        <v>6</v>
      </c>
      <c r="B2" s="1">
        <v>17.0</v>
      </c>
      <c r="C2" s="3" t="s">
        <v>12</v>
      </c>
      <c r="D2" s="1" t="s">
        <v>14</v>
      </c>
      <c r="E2" s="4">
        <f>75.36+777.9+44.1+72.95</f>
        <v>970.31</v>
      </c>
    </row>
    <row r="3">
      <c r="A3" s="1" t="s">
        <v>19</v>
      </c>
      <c r="B3" s="1">
        <v>1.0</v>
      </c>
      <c r="C3" s="1">
        <v>124.99</v>
      </c>
      <c r="D3" s="1" t="s">
        <v>20</v>
      </c>
      <c r="E3" s="1">
        <v>149.77</v>
      </c>
    </row>
    <row r="4">
      <c r="A4" s="1" t="s">
        <v>21</v>
      </c>
      <c r="B4" s="1">
        <v>1.0</v>
      </c>
      <c r="C4" s="1">
        <v>135.99</v>
      </c>
      <c r="D4" s="1">
        <v>8.16</v>
      </c>
      <c r="E4" s="4">
        <f>(C4*B4)+D4</f>
        <v>144.15</v>
      </c>
    </row>
    <row r="5">
      <c r="A5" s="1" t="s">
        <v>26</v>
      </c>
      <c r="B5" s="1">
        <v>2.0</v>
      </c>
      <c r="C5" s="1">
        <v>32.98</v>
      </c>
      <c r="D5" s="1">
        <v>12.64</v>
      </c>
      <c r="E5" s="1">
        <v>78.6</v>
      </c>
    </row>
    <row r="6">
      <c r="A6" s="1" t="s">
        <v>29</v>
      </c>
      <c r="B6" s="1">
        <v>1.0</v>
      </c>
      <c r="C6" s="1">
        <v>14.42</v>
      </c>
      <c r="D6" s="4">
        <f>8.9+1.4</f>
        <v>10.3</v>
      </c>
      <c r="E6" s="4">
        <f>C6+D6</f>
        <v>24.72</v>
      </c>
    </row>
    <row r="10">
      <c r="H10" s="1" t="s">
        <v>35</v>
      </c>
      <c r="I10" s="4">
        <f>SUM(E2:E26)</f>
        <v>1367.55</v>
      </c>
    </row>
  </sheetData>
  <drawing r:id="rId1"/>
</worksheet>
</file>