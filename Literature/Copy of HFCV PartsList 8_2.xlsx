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5"/>
    <sheet state="visible" name="Cost" sheetId="2" r:id="rId6"/>
  </sheets>
  <definedNames/>
  <calcPr/>
</workbook>
</file>

<file path=xl/sharedStrings.xml><?xml version="1.0" encoding="utf-8"?>
<sst xmlns="http://schemas.openxmlformats.org/spreadsheetml/2006/main" count="53" uniqueCount="49">
  <si>
    <t>Type</t>
  </si>
  <si>
    <t>Item</t>
  </si>
  <si>
    <t xml:space="preserve">Manufacturer/Company ordered from </t>
  </si>
  <si>
    <t xml:space="preserve">Item Name </t>
  </si>
  <si>
    <t>Quatity</t>
  </si>
  <si>
    <t>Item Number</t>
  </si>
  <si>
    <t>Price per unit</t>
  </si>
  <si>
    <t>Link</t>
  </si>
  <si>
    <t>Notes</t>
  </si>
  <si>
    <t>Shipping/Misc Fees</t>
  </si>
  <si>
    <t>Total Cost</t>
  </si>
  <si>
    <t>Carbon Fibre tubes</t>
  </si>
  <si>
    <t>varies</t>
  </si>
  <si>
    <t>44.10+72.95</t>
  </si>
  <si>
    <t>Carbon Fibre Tubes</t>
  </si>
  <si>
    <t>Goodwinds Composites</t>
  </si>
  <si>
    <t>WCT .750" x 60" Wrapped Carbon Tube</t>
  </si>
  <si>
    <t>WCT750060</t>
  </si>
  <si>
    <t>https://goodwinds.com/product/wct-750-x-60-wrapped-carbon-tube/</t>
  </si>
  <si>
    <t>Suspension</t>
  </si>
  <si>
    <t>Aluminium Connectors</t>
  </si>
  <si>
    <t>approx 24.78</t>
  </si>
  <si>
    <t>Swarthmore</t>
  </si>
  <si>
    <t>1 in Stock Round</t>
  </si>
  <si>
    <t>Steering</t>
  </si>
  <si>
    <t>If need more ask J to order</t>
  </si>
  <si>
    <t xml:space="preserve">Amazon </t>
  </si>
  <si>
    <t>2'' Front Suspension Shock Swing Arm Full Kit Upper Lower Steering Knuckle Spindle Kit For ATV Quad Bike Go Kart Buggy DIY Parts Front Suspension Swingarm Assembly 3 Holes Flange</t>
  </si>
  <si>
    <t>https://www.amazon.com/gp/product/B0CH77CL6Y/ref=ox_sc_act_title_3?smid=AEJS3TTKF0L7A&amp;th=1</t>
  </si>
  <si>
    <t>Epoxy</t>
  </si>
  <si>
    <t>Bolts</t>
  </si>
  <si>
    <t>Not custom, so that in future if need be can replace</t>
  </si>
  <si>
    <t>Steering Kit</t>
  </si>
  <si>
    <t>270mm Steering Wheel Steel Kit Gear Rack Pinion Adjustable Shaft Set DIY Parts for Go Kart Go Cart Golf Cart ATV UTV 110cc 125cc 140cc 150cc Buggy Drift Trike Off Road Kart (440mm Gear Rack)</t>
  </si>
  <si>
    <t xml:space="preserve">Final Cost </t>
  </si>
  <si>
    <t>https://www.amazon.com/gp/product/B0CM9HDGXD/ref=ox_sc_act_title_1?smid=A3882WZCJFKWU8&amp;th=1</t>
  </si>
  <si>
    <t>Wheels</t>
  </si>
  <si>
    <t>Cycle Sport (Media)</t>
  </si>
  <si>
    <t>Custom 20in Wheels fit for hydraulic disk brakes</t>
  </si>
  <si>
    <t>Phone: 610-565-6023  or 610-565-9535</t>
  </si>
  <si>
    <t xml:space="preserve">Epoxy </t>
  </si>
  <si>
    <t>McMaster Carr</t>
  </si>
  <si>
    <t>Epoxy, 3M DP110, 1.64 FL. oz. Cartridge, Gray</t>
  </si>
  <si>
    <t>7467A23</t>
  </si>
  <si>
    <t>For plastic to metal</t>
  </si>
  <si>
    <t>Bolts for Suspension</t>
  </si>
  <si>
    <t>High-Strength Class 10.9 Steel Hex Head Screw     M10 x 1.50 mm Thread, 140 mm Long</t>
  </si>
  <si>
    <t>90447A370</t>
  </si>
  <si>
    <t>So that we can attach the suspension through a one inch aluminium sqaure tube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</si>
</sst>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3" numFmtId="0" xfId="0" applyAlignment="1" applyFont="1">
      <alignment readingOrder="0" shrinkToFit="0" wrapText="1"/>
    </xf>
    <xf borderId="0" fillId="0" fontId="2" numFmtId="0" xfId="0" applyAlignment="1" applyFont="1">
      <alignment shrinkToFit="0" wrapText="1"/>
    </xf>
    <xf borderId="0" fillId="2"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odwinds.com/product/wct-750-x-60-wrapped-carbon-tube/" TargetMode="External"/><Relationship Id="rId2" Type="http://schemas.openxmlformats.org/officeDocument/2006/relationships/hyperlink" Target="https://www.amazon.com/gp/product/B0CH77CL6Y/ref=ox_sc_act_title_3?smid=AEJS3TTKF0L7A&amp;th=1" TargetMode="External"/><Relationship Id="rId3" Type="http://schemas.openxmlformats.org/officeDocument/2006/relationships/hyperlink" Target="https://www.amazon.com/gp/product/B0CM9HDGXD/ref=ox_sc_act_title_1?smid=A3882WZCJFKWU8&amp;th=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3.25"/>
    <col customWidth="1" min="3" max="3" width="40.38"/>
    <col customWidth="1" min="5" max="5" width="28.25"/>
    <col customWidth="1" min="6" max="6" width="27.5"/>
  </cols>
  <sheetData>
    <row r="1">
      <c r="A1" s="1" t="s">
        <v>0</v>
      </c>
      <c r="B1" s="1" t="s">
        <v>2</v>
      </c>
      <c r="C1" s="1" t="s">
        <v>3</v>
      </c>
      <c r="D1" s="1" t="s">
        <v>5</v>
      </c>
      <c r="E1" s="1" t="s">
        <v>7</v>
      </c>
      <c r="F1" s="1" t="s">
        <v>8</v>
      </c>
    </row>
    <row r="3">
      <c r="A3" s="3" t="s">
        <v>14</v>
      </c>
      <c r="B3" s="3" t="s">
        <v>15</v>
      </c>
      <c r="C3" s="3" t="s">
        <v>16</v>
      </c>
      <c r="D3" s="3" t="s">
        <v>17</v>
      </c>
      <c r="E3" s="5" t="s">
        <v>18</v>
      </c>
      <c r="F3" s="6"/>
    </row>
    <row r="4">
      <c r="A4" s="3" t="s">
        <v>20</v>
      </c>
      <c r="B4" s="3" t="s">
        <v>22</v>
      </c>
      <c r="C4" s="3" t="s">
        <v>23</v>
      </c>
      <c r="D4" s="3"/>
      <c r="E4" s="3"/>
      <c r="F4" s="3" t="s">
        <v>25</v>
      </c>
    </row>
    <row r="5">
      <c r="A5" s="3" t="s">
        <v>19</v>
      </c>
      <c r="B5" s="3" t="s">
        <v>26</v>
      </c>
      <c r="C5" s="3" t="s">
        <v>27</v>
      </c>
      <c r="D5" s="6"/>
      <c r="E5" s="5" t="s">
        <v>28</v>
      </c>
      <c r="F5" s="3" t="s">
        <v>31</v>
      </c>
    </row>
    <row r="6">
      <c r="A6" s="3" t="s">
        <v>32</v>
      </c>
      <c r="B6" s="3" t="s">
        <v>26</v>
      </c>
      <c r="C6" s="3" t="s">
        <v>33</v>
      </c>
      <c r="D6" s="6"/>
      <c r="E6" s="5" t="s">
        <v>35</v>
      </c>
      <c r="F6" s="3" t="s">
        <v>31</v>
      </c>
    </row>
    <row r="7">
      <c r="A7" s="3" t="s">
        <v>36</v>
      </c>
      <c r="B7" s="3" t="s">
        <v>37</v>
      </c>
      <c r="C7" s="3" t="s">
        <v>38</v>
      </c>
      <c r="D7" s="6"/>
      <c r="E7" s="6"/>
      <c r="F7" s="3" t="s">
        <v>39</v>
      </c>
    </row>
    <row r="8">
      <c r="A8" s="3" t="s">
        <v>40</v>
      </c>
      <c r="B8" s="3" t="s">
        <v>41</v>
      </c>
      <c r="C8" s="3" t="s">
        <v>42</v>
      </c>
      <c r="D8" s="7" t="s">
        <v>43</v>
      </c>
      <c r="E8" s="6"/>
      <c r="F8" s="3" t="s">
        <v>44</v>
      </c>
    </row>
    <row r="9">
      <c r="A9" s="3" t="s">
        <v>45</v>
      </c>
      <c r="B9" s="3" t="s">
        <v>41</v>
      </c>
      <c r="C9" s="3" t="s">
        <v>46</v>
      </c>
      <c r="D9" s="7" t="s">
        <v>47</v>
      </c>
      <c r="E9" s="6"/>
      <c r="F9" s="3" t="s">
        <v>48</v>
      </c>
    </row>
    <row r="10">
      <c r="A10" s="6"/>
      <c r="B10" s="6"/>
      <c r="D10" s="6"/>
      <c r="E10" s="6"/>
      <c r="F10" s="6"/>
    </row>
    <row r="11">
      <c r="A11" s="6"/>
      <c r="B11" s="6"/>
      <c r="C11" s="3"/>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c r="A21" s="6"/>
      <c r="B21" s="6"/>
      <c r="C21" s="6"/>
      <c r="D21" s="6"/>
      <c r="E21" s="6"/>
      <c r="F21" s="6"/>
    </row>
    <row r="22">
      <c r="A22" s="6"/>
      <c r="B22" s="6"/>
      <c r="C22" s="6"/>
      <c r="D22" s="6"/>
      <c r="E22" s="6"/>
      <c r="F22" s="6"/>
    </row>
    <row r="23">
      <c r="A23" s="6"/>
      <c r="B23" s="6"/>
      <c r="C23" s="6"/>
      <c r="D23" s="6"/>
      <c r="E23" s="6"/>
      <c r="F23" s="6"/>
    </row>
    <row r="24">
      <c r="A24" s="6"/>
      <c r="B24" s="6"/>
      <c r="C24" s="6"/>
      <c r="D24" s="6"/>
      <c r="E24" s="6"/>
      <c r="F24" s="6"/>
    </row>
    <row r="25">
      <c r="A25" s="6"/>
      <c r="B25" s="6"/>
      <c r="C25" s="6"/>
      <c r="D25" s="6"/>
      <c r="E25" s="6"/>
      <c r="F25" s="6"/>
    </row>
    <row r="26">
      <c r="A26" s="6"/>
      <c r="B26" s="6"/>
      <c r="C26" s="6"/>
      <c r="D26" s="6"/>
      <c r="E26" s="6"/>
      <c r="F26" s="6"/>
    </row>
    <row r="27">
      <c r="A27" s="6"/>
      <c r="B27" s="6"/>
      <c r="C27" s="6"/>
      <c r="D27" s="6"/>
      <c r="E27" s="6"/>
      <c r="F27" s="6"/>
    </row>
    <row r="28">
      <c r="A28" s="6"/>
      <c r="B28" s="6"/>
      <c r="C28" s="6"/>
      <c r="D28" s="6"/>
      <c r="E28" s="6"/>
      <c r="F28" s="6"/>
    </row>
    <row r="29">
      <c r="A29" s="6"/>
      <c r="B29" s="6"/>
      <c r="C29" s="6"/>
      <c r="D29" s="6"/>
      <c r="E29" s="6"/>
      <c r="F29" s="6"/>
    </row>
    <row r="30">
      <c r="A30" s="6"/>
      <c r="B30" s="6"/>
      <c r="C30" s="6"/>
      <c r="D30" s="6"/>
      <c r="E30" s="6"/>
      <c r="F30" s="6"/>
    </row>
    <row r="31">
      <c r="A31" s="6"/>
      <c r="B31" s="6"/>
      <c r="C31" s="6"/>
      <c r="D31" s="6"/>
      <c r="E31" s="6"/>
      <c r="F31" s="6"/>
    </row>
    <row r="32">
      <c r="A32" s="6"/>
      <c r="B32" s="6"/>
      <c r="C32" s="6"/>
      <c r="D32" s="6"/>
      <c r="E32" s="6"/>
      <c r="F32" s="6"/>
    </row>
    <row r="33">
      <c r="A33" s="6"/>
      <c r="B33" s="6"/>
      <c r="C33" s="6"/>
      <c r="D33" s="6"/>
      <c r="E33" s="6"/>
      <c r="F33" s="6"/>
    </row>
    <row r="34">
      <c r="A34" s="6"/>
      <c r="B34" s="6"/>
      <c r="C34" s="6"/>
      <c r="D34" s="6"/>
      <c r="E34" s="6"/>
      <c r="F34" s="6"/>
    </row>
    <row r="35">
      <c r="A35" s="6"/>
      <c r="B35" s="6"/>
      <c r="C35" s="6"/>
      <c r="D35" s="6"/>
      <c r="E35" s="6"/>
      <c r="F35" s="6"/>
    </row>
    <row r="36">
      <c r="A36" s="6"/>
      <c r="B36" s="6"/>
      <c r="C36" s="6"/>
      <c r="D36" s="6"/>
      <c r="E36" s="6"/>
      <c r="F36" s="6"/>
    </row>
    <row r="37">
      <c r="A37" s="6"/>
      <c r="B37" s="6"/>
      <c r="C37" s="6"/>
      <c r="D37" s="6"/>
      <c r="E37" s="6"/>
      <c r="F37" s="6"/>
    </row>
    <row r="38">
      <c r="A38" s="6"/>
      <c r="B38" s="6"/>
      <c r="C38" s="6"/>
      <c r="D38" s="6"/>
      <c r="E38" s="6"/>
      <c r="F38" s="6"/>
    </row>
    <row r="39">
      <c r="A39" s="6"/>
      <c r="B39" s="6"/>
      <c r="C39" s="6"/>
      <c r="D39" s="6"/>
      <c r="E39" s="6"/>
      <c r="F39" s="6"/>
    </row>
    <row r="40">
      <c r="A40" s="6"/>
      <c r="B40" s="6"/>
      <c r="C40" s="6"/>
      <c r="D40" s="6"/>
      <c r="E40" s="6"/>
      <c r="F40" s="6"/>
    </row>
  </sheetData>
  <hyperlinks>
    <hyperlink r:id="rId1" ref="E3"/>
    <hyperlink r:id="rId2" ref="E5"/>
    <hyperlink r:id="rId3" ref="E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3" max="3" width="12.0"/>
    <col customWidth="1" min="4" max="4" width="18.0"/>
  </cols>
  <sheetData>
    <row r="1">
      <c r="A1" s="2" t="s">
        <v>1</v>
      </c>
      <c r="B1" s="2" t="s">
        <v>4</v>
      </c>
      <c r="C1" s="2" t="s">
        <v>6</v>
      </c>
      <c r="D1" s="2" t="s">
        <v>9</v>
      </c>
      <c r="E1" s="2" t="s">
        <v>10</v>
      </c>
    </row>
    <row r="2">
      <c r="A2" s="2" t="s">
        <v>11</v>
      </c>
      <c r="B2" s="2">
        <v>17.0</v>
      </c>
      <c r="C2" s="3" t="s">
        <v>12</v>
      </c>
      <c r="D2" s="2" t="s">
        <v>13</v>
      </c>
      <c r="E2" s="4">
        <f>75.36+777.9+44.1+72.95</f>
        <v>970.31</v>
      </c>
    </row>
    <row r="3">
      <c r="A3" s="2" t="s">
        <v>19</v>
      </c>
      <c r="B3" s="2">
        <v>1.0</v>
      </c>
      <c r="C3" s="2">
        <v>124.99</v>
      </c>
      <c r="D3" s="2" t="s">
        <v>21</v>
      </c>
      <c r="E3" s="2">
        <v>149.77</v>
      </c>
    </row>
    <row r="4">
      <c r="A4" s="2" t="s">
        <v>24</v>
      </c>
      <c r="B4" s="2">
        <v>1.0</v>
      </c>
      <c r="C4" s="2">
        <v>135.99</v>
      </c>
      <c r="D4" s="2">
        <v>8.16</v>
      </c>
      <c r="E4" s="4">
        <f>(C4*B4)+D4</f>
        <v>144.15</v>
      </c>
    </row>
    <row r="5">
      <c r="A5" s="2" t="s">
        <v>29</v>
      </c>
      <c r="B5" s="2">
        <v>2.0</v>
      </c>
      <c r="C5" s="2">
        <v>32.98</v>
      </c>
      <c r="D5" s="2">
        <v>12.64</v>
      </c>
      <c r="E5" s="2">
        <v>78.6</v>
      </c>
    </row>
    <row r="6">
      <c r="A6" s="2" t="s">
        <v>30</v>
      </c>
      <c r="B6" s="2">
        <v>1.0</v>
      </c>
      <c r="C6" s="2">
        <v>14.42</v>
      </c>
      <c r="D6" s="4">
        <f>8.9+1.4</f>
        <v>10.3</v>
      </c>
      <c r="E6" s="4">
        <f>C6+D6</f>
        <v>24.72</v>
      </c>
    </row>
    <row r="10">
      <c r="H10" s="2" t="s">
        <v>34</v>
      </c>
      <c r="I10" s="4">
        <f>SUM(E2:E26)</f>
        <v>1367.55</v>
      </c>
    </row>
  </sheetData>
  <drawing r:id="rId1"/>
</worksheet>
</file>